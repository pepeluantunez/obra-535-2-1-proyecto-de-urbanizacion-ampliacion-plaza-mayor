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Claude\Projects\535.2.1 - Proyecto de Urbanizacion - Ampliacion Plaza Mayor\DOCS - PLANTILLAS\Excel\Bases Guadalmar\13 - Residuos\"/>
    </mc:Choice>
  </mc:AlternateContent>
  <xr:revisionPtr revIDLastSave="0" documentId="13_ncr:1_{F1B92088-7884-49C4-9E79-2DD10EB48C65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CTRA. GUADALMAR" sheetId="1" r:id="rId1"/>
    <sheet name="TABLA LER-DESTINO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F26" i="2"/>
  <c r="G11" i="2"/>
  <c r="F11" i="2"/>
  <c r="G98" i="1"/>
  <c r="L96" i="1"/>
  <c r="E95" i="1"/>
  <c r="F93" i="1"/>
  <c r="G89" i="1"/>
  <c r="F89" i="1"/>
  <c r="G91" i="1" s="1"/>
  <c r="F88" i="1"/>
  <c r="G90" i="1" s="1"/>
  <c r="G86" i="1"/>
  <c r="F80" i="1"/>
  <c r="G78" i="1"/>
  <c r="F77" i="1"/>
  <c r="G79" i="1" s="1"/>
  <c r="G72" i="1"/>
  <c r="G69" i="1"/>
  <c r="F68" i="1"/>
  <c r="G66" i="1"/>
  <c r="G59" i="1"/>
  <c r="G58" i="1"/>
  <c r="G57" i="1"/>
  <c r="G56" i="1"/>
  <c r="G55" i="1"/>
  <c r="F72" i="1" s="1"/>
  <c r="G54" i="1"/>
  <c r="F71" i="1" s="1"/>
  <c r="G73" i="1" s="1"/>
  <c r="G53" i="1"/>
  <c r="G52" i="1"/>
  <c r="F66" i="1" s="1"/>
  <c r="G43" i="1"/>
  <c r="F43" i="1"/>
  <c r="F38" i="1"/>
  <c r="L94" i="1" s="1"/>
  <c r="L97" i="1" s="1"/>
  <c r="G37" i="1"/>
  <c r="G38" i="2" s="1"/>
  <c r="F37" i="1"/>
  <c r="F38" i="2" s="1"/>
  <c r="E34" i="1"/>
  <c r="F32" i="1"/>
  <c r="F31" i="1"/>
  <c r="F30" i="1"/>
  <c r="F29" i="1"/>
  <c r="G28" i="1"/>
  <c r="G17" i="2" s="1"/>
  <c r="F28" i="1"/>
  <c r="G27" i="1"/>
  <c r="F27" i="1"/>
  <c r="G21" i="1"/>
  <c r="G13" i="1"/>
  <c r="E13" i="1"/>
  <c r="G12" i="1"/>
  <c r="G11" i="1"/>
  <c r="F7" i="2" s="1"/>
  <c r="G7" i="2" s="1"/>
  <c r="E99" i="1" l="1"/>
  <c r="F97" i="1"/>
  <c r="G13" i="2"/>
  <c r="F91" i="1"/>
  <c r="G93" i="1" s="1"/>
  <c r="F79" i="1"/>
  <c r="F73" i="1"/>
  <c r="G75" i="1" s="1"/>
  <c r="F69" i="1"/>
  <c r="F75" i="1"/>
  <c r="F98" i="1"/>
  <c r="F90" i="1"/>
  <c r="F86" i="1"/>
  <c r="F78" i="1"/>
  <c r="F21" i="2" s="1"/>
  <c r="G68" i="1"/>
  <c r="G83" i="1" s="1"/>
  <c r="G95" i="1" s="1"/>
  <c r="G99" i="1" s="1"/>
  <c r="F83" i="1"/>
  <c r="F95" i="1" s="1"/>
  <c r="F13" i="2"/>
  <c r="F36" i="1"/>
  <c r="E40" i="1"/>
  <c r="G32" i="1"/>
  <c r="G31" i="1"/>
  <c r="G30" i="1"/>
  <c r="G21" i="2" s="1"/>
  <c r="F17" i="2"/>
  <c r="G34" i="1"/>
  <c r="F34" i="1"/>
  <c r="G29" i="1"/>
  <c r="G88" i="1" l="1"/>
  <c r="G34" i="2" s="1"/>
  <c r="F34" i="2"/>
  <c r="F23" i="2"/>
  <c r="G80" i="1"/>
  <c r="G23" i="2" s="1"/>
  <c r="G97" i="1"/>
  <c r="F99" i="1"/>
  <c r="G38" i="1"/>
  <c r="F36" i="2"/>
  <c r="F42" i="1"/>
  <c r="E44" i="1"/>
  <c r="G40" i="1"/>
  <c r="G31" i="2"/>
  <c r="G36" i="1"/>
  <c r="G36" i="2" s="1"/>
  <c r="F31" i="2"/>
  <c r="F40" i="1"/>
  <c r="G19" i="2"/>
  <c r="G71" i="1"/>
  <c r="G15" i="2" s="1"/>
  <c r="F15" i="2"/>
  <c r="G77" i="1"/>
  <c r="F19" i="2"/>
  <c r="G44" i="1" l="1"/>
  <c r="G25" i="2"/>
  <c r="L95" i="1"/>
  <c r="F25" i="2"/>
  <c r="F44" i="1"/>
  <c r="G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Revisión técnica RCD</author>
    <author>ICCP</author>
  </authors>
  <commentList>
    <comment ref="E13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VERIFICAR: Valor hardcoded E11=33.280 m³ no coincide con suma E9+E10 (6.970+21.000=27.970 m³). Diferencia: 5.310 m³. Revisar si incluye volumen adicional no desglosado. Actualizar en medición definitiva.</t>
        </r>
      </text>
    </comment>
    <comment ref="E42" authorId="1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RATIO CORREGIDO (Opción B): 7% → 1,5%.
Ratio COAA Sevilla (edificación) sustituido por ratio específico de obra civil viaria.
Referencia: MITMA/CEDEX, EGR tipo para proyectos de carreteras.
Basura (LER 17 09 04, RNP) en obra viaria es sustancialmente menor que en edificación.</t>
        </r>
      </text>
    </comment>
    <comment ref="E43" authorId="1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RATIO CORREGIDO (Opción B): 4% → 0,5%.
Ratio COAA Sevilla (edificación) sustituido por ratio específico de obra civil viaria.
Peligrosos y otros en obra viaria: lubricantes, pinturas, aerosoles, residuos de maquinaria.
Referencia: MITMA/CEDEX, EGR tipo para proyectos de carreteras.</t>
        </r>
      </text>
    </comment>
    <comment ref="L94" authorId="0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>Precio unitario gestión pétrea: 6,00 €/t (embebido en fórmula). Verificar tarifa actual de gestor.</t>
        </r>
      </text>
    </comment>
    <comment ref="L95" authorId="1" shapeId="0" xr:uid="{00000000-0006-0000-0000-000005000000}">
      <text>
        <r>
          <rPr>
            <sz val="11"/>
            <color theme="1"/>
            <rFont val="Calibri"/>
            <family val="2"/>
            <charset val="1"/>
          </rPr>
          <t>FÓRMULA CORREGIDA (Opción A):
GR incluye ahora todos los RNP: no pétreos de ejecución (F32) y demolición (F81),
más basura de ejecución F40 (LER 17 09 04, RNP),
basura de demolición F95 (LER 17 09 04, RNP),
y mat. aislamiento F96 (LER 17 06 04, RNP).
Precio: 15 €/tn (mercado Andalucía 2025, RCD no pétreos mixtos).</t>
        </r>
      </text>
    </comment>
    <comment ref="L96" authorId="1" shapeId="0" xr:uid="{00000000-0006-0000-0000-000006000000}">
      <text>
        <r>
          <rPr>
            <sz val="11"/>
            <color theme="1"/>
            <rFont val="Calibri"/>
            <family val="2"/>
            <charset val="1"/>
          </rPr>
          <t>FÓRMULA CORREGIDA (Opción A):
GE = solo F41 (peligrosos y otros de ejecución, verdaderamente peligrosos).
F40 (basura ejecución, LER 17 09 04 = RNP) → trasladada a GR.
F95 (basura demolición, LER 17 09 04 = RNP) → trasladada a GR.
F96 (LER 17 06 04 = RNP) → ya en GR desde corrección error 3.
Coherente con clasificación de Hoja2: solo F41 es residuo peligroso.</t>
        </r>
      </text>
    </comment>
    <comment ref="E97" authorId="1" shapeId="0" xr:uid="{00000000-0006-0000-0000-000007000000}">
      <text>
        <r>
          <rPr>
            <sz val="11"/>
            <color theme="1"/>
            <rFont val="Calibri"/>
            <family val="2"/>
            <charset val="1"/>
          </rPr>
          <t>RATIO CORREGIDO: 8% → 2%.
Ratio anterior de metodología de edificación (COAA): 14,8% s/masa total.
Ratio corregido para obra civil viaria: 3,7% s/masa total = 13,8 kg/m³ ladrillo.
Basura (LER 17 09 04, RNP): polvo, finos no reciclables, restos de encofrado,
embalajes. Para demolición de fábrica de ladrillo en proyecto de carretera,
2% es coherente con ratios de demolición de estructuras para obra pública.</t>
        </r>
      </text>
    </comment>
    <comment ref="E98" authorId="1" shapeId="0" xr:uid="{00000000-0006-0000-0000-000008000000}">
      <text>
        <r>
          <rPr>
            <sz val="11"/>
            <color theme="1"/>
            <rFont val="Calibri"/>
            <family val="2"/>
            <charset val="1"/>
          </rPr>
          <t>RATIO CORREGIDO: 4% → 0,3%.
Ratio anterior de metodología de edificación: 40 kg/ml = masa equivalente a la tubería.
Ratio corregido para canalizaciones de drenaje viario (hormigón/PVC/HDPE):
0,3% → 3 kg/ml, correspondiente a juntas elastoméricas, manguitos y pequeños accesorios.
Clasificado como LER 17 06 04 (RNP, materiales de aislamiento no peligrosos).
Fuente: estimación para colectores de drenaje en proyectos de carreteras.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ICCP</author>
  </authors>
  <commentList>
    <comment ref="C26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RECLASIFICADO (error 3): era 17 06 05* (amianto, RP).
Correcto: 17 06 04 (materiales de aislamiento no peligrosos, RNP).
Motivo: E57=0 (sin demolición de tuberías de fibrocemento); el material presente
en demolición de canalizaciones (F96) corresponde a aislamiento no peligroso.
Coste trasladado de GE (270 €/tn) a GR (15 €/tn) en resumen económico.</t>
        </r>
      </text>
    </comment>
  </commentList>
</comments>
</file>

<file path=xl/sharedStrings.xml><?xml version="1.0" encoding="utf-8"?>
<sst xmlns="http://schemas.openxmlformats.org/spreadsheetml/2006/main" count="235" uniqueCount="159">
  <si>
    <t>GR 535.2.2 MEJORA CARRETERA GUADALMAR – REVISIÓN AUDITADA 07/04/2026</t>
  </si>
  <si>
    <t>NIVEL I: volúmenes corregidos con mediciones auxiliares confirmadas. Celdas VERDE = modificadas. Ver col J para detalle.</t>
  </si>
  <si>
    <t>MEJORA CARRETERA DE GUADALMAR</t>
  </si>
  <si>
    <t>Partidas de retirada de tierras procedentes de la excavacion, RCD´s NIVEL I</t>
  </si>
  <si>
    <t>(volumen de tierras y petreos no contaminados)</t>
  </si>
  <si>
    <t>RCD: Volumen de tierras y pétrea no contaminados</t>
  </si>
  <si>
    <t>Volumen (m³)</t>
  </si>
  <si>
    <t>ct x ct</t>
  </si>
  <si>
    <t>tn</t>
  </si>
  <si>
    <t>Excavacion Desbroce</t>
  </si>
  <si>
    <t>1.5 x 1.15</t>
  </si>
  <si>
    <t>MDT001(LM-1.02)</t>
  </si>
  <si>
    <t>[AUD 07/04/2026] Desbroce: ant.6970→4204.09 m³ [Trazado.xlsx suma 5 tramos]</t>
  </si>
  <si>
    <t>Saneo y desmonte trazado (se deduce suelo adecuado a utilizar en obra)</t>
  </si>
  <si>
    <t>EXCADESMONTE+EXCASANRELL-RELLENOTERRA (LM-1.02)</t>
  </si>
  <si>
    <t>[AUD 07/04/2026] Desmonte: ant.21000→26391.19 m³ [Trazado.xlsx suma 5 tramos]</t>
  </si>
  <si>
    <t>Total Vol. Tierras no contaminadas</t>
  </si>
  <si>
    <t>[AUD] Total Nivel I: ant.33280→=E9+E10 (30595.28 m³). Nota: 33280≠6970+21000; valor heredado era inconsistente.</t>
  </si>
  <si>
    <t>Resto de partidas que generan residuos de forma indirecta al ejecutar la unidad de obra, RCD´s NIVEL II</t>
  </si>
  <si>
    <t>Estimación de residuos totales por parámetros estimativos</t>
  </si>
  <si>
    <t>Estimación de residuos totales en la ejecución de las obras</t>
  </si>
  <si>
    <t>Superficie construida (m2)</t>
  </si>
  <si>
    <t>Vol. de Residuos</t>
  </si>
  <si>
    <t>D. tipo (t/m³)</t>
  </si>
  <si>
    <t>Toneladas</t>
  </si>
  <si>
    <t>sup. X 0,20</t>
  </si>
  <si>
    <t>AREA DE CIVIL3D</t>
  </si>
  <si>
    <t>[AUD 07/04/2026] 36.055 m² de Civil 3D. PENDIENTE verificar con plano de planta definitivo.</t>
  </si>
  <si>
    <t>Estimacion del peso de Residuos por tipo (ratios obtenidos del colegio oficial de arquitectos de Sevilla)</t>
  </si>
  <si>
    <t>Estimacion del peso de Residuos por tipo</t>
  </si>
  <si>
    <t>Evaluación teórica del peso por tipología de RCD</t>
  </si>
  <si>
    <t>% en Peso</t>
  </si>
  <si>
    <t>Tn de cada tipo de RCD</t>
  </si>
  <si>
    <t>m³ de cada tipo de RCD</t>
  </si>
  <si>
    <t>RCD: Naturaleza no pétrea</t>
  </si>
  <si>
    <t>Asfalto</t>
  </si>
  <si>
    <t>Madera</t>
  </si>
  <si>
    <t>Metales</t>
  </si>
  <si>
    <t>Papel</t>
  </si>
  <si>
    <t>Plastico</t>
  </si>
  <si>
    <t>Vidrio</t>
  </si>
  <si>
    <t>Yeso</t>
  </si>
  <si>
    <t>Total Naturaleza no pétrea</t>
  </si>
  <si>
    <t>RCD: Naturaleza pétrea</t>
  </si>
  <si>
    <t>Arena, grava y otros aridos</t>
  </si>
  <si>
    <t>Hormigon</t>
  </si>
  <si>
    <t>Ladrillos, tejas y materiales cerámicos</t>
  </si>
  <si>
    <t>Piedra</t>
  </si>
  <si>
    <t>Total Naturaleza pétrea</t>
  </si>
  <si>
    <t>RCD: Potencialmente Peligrosos</t>
  </si>
  <si>
    <t>Basura</t>
  </si>
  <si>
    <t>Peligrosos y otros</t>
  </si>
  <si>
    <t>Total RCD Potencialmente Peligrosos</t>
  </si>
  <si>
    <t>Partidas de demolición y desmontaje (según mediciones proyecto), RCD's NIVEL II</t>
  </si>
  <si>
    <t>Estimación de residuos totales en la demolición de edificaciones y elementos existentes</t>
  </si>
  <si>
    <t>Descripción</t>
  </si>
  <si>
    <t>medición (PU)</t>
  </si>
  <si>
    <t>paso unidad</t>
  </si>
  <si>
    <t>(1) Demolición de fábrica de ladrillo</t>
  </si>
  <si>
    <t>m3</t>
  </si>
  <si>
    <t>m2</t>
  </si>
  <si>
    <t>01EMM12315486 (LM-1.01)</t>
  </si>
  <si>
    <t>(2) Demolición de pavimento de hormigón</t>
  </si>
  <si>
    <t>DYT003 (LM-1.01)</t>
  </si>
  <si>
    <t>(3) Demolición de pavimento de mezcla bituminosa</t>
  </si>
  <si>
    <t>DYT005 (LM-2.00)</t>
  </si>
  <si>
    <t>(4) Demolición y retirada de canalizaciones existentes</t>
  </si>
  <si>
    <t>m</t>
  </si>
  <si>
    <t>DEM056 (LM-1.01)</t>
  </si>
  <si>
    <t>(5) Desmontaje de valla de simple torsión</t>
  </si>
  <si>
    <t>DYT006 (LM-1.01)</t>
  </si>
  <si>
    <t>(6) Desmontaje de bionda</t>
  </si>
  <si>
    <t>(7) Demolición técnica de obra de paso superior</t>
  </si>
  <si>
    <t>(8) Desmantelamiento tuberia fibrocemento enterrada</t>
  </si>
  <si>
    <t>DESMTUBFIBRO (LM-1.01)</t>
  </si>
  <si>
    <t>(3)</t>
  </si>
  <si>
    <t>(4)</t>
  </si>
  <si>
    <t>(7)</t>
  </si>
  <si>
    <t>(5)</t>
  </si>
  <si>
    <t>(6)</t>
  </si>
  <si>
    <t>(2)</t>
  </si>
  <si>
    <t>Hormigon, morteros y prefabricados</t>
  </si>
  <si>
    <t>(1)</t>
  </si>
  <si>
    <t>Código</t>
  </si>
  <si>
    <t>Subcapítulo</t>
  </si>
  <si>
    <t>TOTAL (€)</t>
  </si>
  <si>
    <t>GT</t>
  </si>
  <si>
    <t>Gestión de Residuos de Naturaleza Pétrea</t>
  </si>
  <si>
    <t>GR</t>
  </si>
  <si>
    <t>Gestión de Residuos de Naturaleza NO Pétrea</t>
  </si>
  <si>
    <t>GE</t>
  </si>
  <si>
    <t>Gestión de residuos peligrosos</t>
  </si>
  <si>
    <t>TOTAL</t>
  </si>
  <si>
    <t>Material según Lista Europea de Residuos (LER), conforme a Orden MAM 304/2002 y Decisión de la Comisión 2014/955/UE, de 18 de diciembre de 2014</t>
  </si>
  <si>
    <t>Código LER</t>
  </si>
  <si>
    <t>Tratamiento</t>
  </si>
  <si>
    <t>Destino</t>
  </si>
  <si>
    <t>Peso</t>
  </si>
  <si>
    <t>Volumen</t>
  </si>
  <si>
    <t>(t)</t>
  </si>
  <si>
    <t>(m³)</t>
  </si>
  <si>
    <t>RCD de Nivel I</t>
  </si>
  <si>
    <t>1 Tierras y pétreos de la excavación</t>
  </si>
  <si>
    <t>Tierra y piedras distintas de las especificadas en el código 17 05 03.</t>
  </si>
  <si>
    <t>17 05 04</t>
  </si>
  <si>
    <t>Sin tratamiento específico</t>
  </si>
  <si>
    <t>Restauración / Vertedero</t>
  </si>
  <si>
    <t>RCD de Nivel II</t>
  </si>
  <si>
    <t>RCD de naturaleza no pétrea</t>
  </si>
  <si>
    <t>1 Asfalto</t>
  </si>
  <si>
    <t>Mezclas bituminosas distintas de las especificadas en el código 17 03 01.</t>
  </si>
  <si>
    <t>17 03 02</t>
  </si>
  <si>
    <t>Reciclado</t>
  </si>
  <si>
    <t>Planta reciclaje RCD</t>
  </si>
  <si>
    <t>2 Madera</t>
  </si>
  <si>
    <t>Madera.</t>
  </si>
  <si>
    <t>17 02 01</t>
  </si>
  <si>
    <t>Gestor autorizado RNPs</t>
  </si>
  <si>
    <t>3 Metales (incluidas sus aleaciones)</t>
  </si>
  <si>
    <t>Hierro y acero.</t>
  </si>
  <si>
    <t>17 04 05</t>
  </si>
  <si>
    <t>4 Papel y cartón</t>
  </si>
  <si>
    <t>Envases de papel y cartón.</t>
  </si>
  <si>
    <t>15 01 01</t>
  </si>
  <si>
    <t>5 Plástico</t>
  </si>
  <si>
    <t>Plástico.</t>
  </si>
  <si>
    <t>17 02 03</t>
  </si>
  <si>
    <t>6 Vidrio</t>
  </si>
  <si>
    <t>Vidrio.</t>
  </si>
  <si>
    <t>17 02 02</t>
  </si>
  <si>
    <t>7 Yeso</t>
  </si>
  <si>
    <t>Materiales de construcción a base de yeso distintos de los especificados en el código 17 08 01.</t>
  </si>
  <si>
    <t>17 08 02</t>
  </si>
  <si>
    <t>Depósito / Tratamiento</t>
  </si>
  <si>
    <t>8 Residuos mezclados</t>
  </si>
  <si>
    <t>Residuos mezclados de construcción y demolición distintos de los especificados en los códigos 17 09 01, 17 09 02 y 17 09 03.</t>
  </si>
  <si>
    <t>17 09 04</t>
  </si>
  <si>
    <t>Materiales de aislamiento distintos de los especificados en los códigos 17 06 01 y 17 06 03.</t>
  </si>
  <si>
    <t>17 06 04</t>
  </si>
  <si>
    <t>Residuos biodegradables.</t>
  </si>
  <si>
    <t>20 02 01</t>
  </si>
  <si>
    <t>Reciclado / Vertedero</t>
  </si>
  <si>
    <t>Planta reciclaje RSU</t>
  </si>
  <si>
    <t>Residuos de la limpieza viaria.</t>
  </si>
  <si>
    <t>20 03 03</t>
  </si>
  <si>
    <t>RCD de naturaleza pétrea</t>
  </si>
  <si>
    <t>1 Arena, grava y otros áridos</t>
  </si>
  <si>
    <t>Residuos de grava y rocas trituradas distintos de los mencionados en el código 01 04 07.</t>
  </si>
  <si>
    <t>01 04 08</t>
  </si>
  <si>
    <t>Residuos de arena y arcillas.</t>
  </si>
  <si>
    <t>01 04 09</t>
  </si>
  <si>
    <t>2 Hormigón</t>
  </si>
  <si>
    <t>Hormigón (hormigones, morteros y prefabricados).</t>
  </si>
  <si>
    <t>17 01 01</t>
  </si>
  <si>
    <t>3 Ladrillos, tejas y materiales cerámicos</t>
  </si>
  <si>
    <t>Mezclas de hormigón, ladrillos, tejas y materiales cerámicos distintas de las especificadas en el código 17 01 06.</t>
  </si>
  <si>
    <t>17 01 07</t>
  </si>
  <si>
    <t>4 Piedra</t>
  </si>
  <si>
    <t>Mezclas de piedras y materiales rocosos distintas de las especificadas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</si>
</sst>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5" x14ac:knownFonts="1">
    <font>
      <sz val="11"/>
      <color theme="1"/>
      <name val="Calibri"/>
      <family val="2"/>
      <charset val="1"/>
    </font>
    <font>
      <sz val="9"/>
      <color theme="1"/>
      <name val="Montserrat"/>
      <charset val="1"/>
    </font>
    <font>
      <sz val="9"/>
      <color theme="1"/>
      <name val="Arial"/>
      <family val="2"/>
      <charset val="1"/>
    </font>
    <font>
      <sz val="8"/>
      <color theme="1"/>
      <name val="Montserrat"/>
      <charset val="1"/>
    </font>
    <font>
      <b/>
      <sz val="11"/>
      <color rgb="FFFFFFFF"/>
      <name val="Montserrat"/>
    </font>
    <font>
      <i/>
      <sz val="8"/>
      <color rgb="FF1F3864"/>
      <name val="Montserrat"/>
    </font>
    <font>
      <b/>
      <sz val="8"/>
      <color rgb="FF1F3864"/>
      <name val="Montserrat"/>
    </font>
    <font>
      <sz val="9"/>
      <color theme="1"/>
      <name val="Montserrat"/>
    </font>
    <font>
      <sz val="11"/>
      <color theme="1"/>
      <name val="Montserrat"/>
    </font>
    <font>
      <b/>
      <sz val="9"/>
      <color rgb="FFFFFFFF"/>
      <name val="Montserrat"/>
    </font>
    <font>
      <sz val="9"/>
      <color rgb="FF000000"/>
      <name val="Montserrat"/>
    </font>
    <font>
      <sz val="9"/>
      <name val="Montserrat"/>
    </font>
    <font>
      <b/>
      <sz val="9"/>
      <color theme="1"/>
      <name val="Montserrat"/>
    </font>
    <font>
      <b/>
      <sz val="9"/>
      <color theme="4"/>
      <name val="Montserrat"/>
    </font>
    <font>
      <sz val="8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5A7FA8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/>
    <xf numFmtId="4" fontId="7" fillId="0" borderId="0" xfId="0" applyNumberFormat="1" applyFont="1"/>
    <xf numFmtId="0" fontId="8" fillId="0" borderId="0" xfId="0" applyFont="1"/>
    <xf numFmtId="0" fontId="9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4" fontId="7" fillId="0" borderId="0" xfId="0" applyNumberFormat="1" applyFont="1" applyAlignment="1">
      <alignment horizontal="left"/>
    </xf>
    <xf numFmtId="4" fontId="7" fillId="0" borderId="0" xfId="0" applyNumberFormat="1" applyFont="1"/>
    <xf numFmtId="4" fontId="7" fillId="0" borderId="0" xfId="0" applyNumberFormat="1" applyFont="1" applyAlignment="1">
      <alignment horizontal="left"/>
    </xf>
    <xf numFmtId="0" fontId="9" fillId="2" borderId="2" xfId="0" applyFont="1" applyFill="1" applyBorder="1" applyAlignment="1">
      <alignment horizontal="center" vertical="center" wrapText="1"/>
    </xf>
    <xf numFmtId="4" fontId="9" fillId="2" borderId="2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4" fontId="10" fillId="5" borderId="2" xfId="0" applyNumberFormat="1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4" fontId="10" fillId="5" borderId="2" xfId="0" applyNumberFormat="1" applyFont="1" applyFill="1" applyBorder="1" applyAlignment="1">
      <alignment horizontal="left" vertical="center" wrapText="1"/>
    </xf>
    <xf numFmtId="0" fontId="11" fillId="0" borderId="0" xfId="0" applyFont="1"/>
    <xf numFmtId="0" fontId="10" fillId="6" borderId="2" xfId="0" applyFont="1" applyFill="1" applyBorder="1" applyAlignment="1">
      <alignment horizontal="left" vertical="center" wrapText="1"/>
    </xf>
    <xf numFmtId="4" fontId="10" fillId="6" borderId="2" xfId="0" applyNumberFormat="1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4" fontId="10" fillId="7" borderId="2" xfId="0" applyNumberFormat="1" applyFont="1" applyFill="1" applyBorder="1" applyAlignment="1">
      <alignment horizontal="left" vertical="center" wrapText="1"/>
    </xf>
    <xf numFmtId="4" fontId="7" fillId="0" borderId="0" xfId="0" applyNumberFormat="1" applyFont="1" applyAlignment="1">
      <alignment horizontal="center" vertical="center"/>
    </xf>
    <xf numFmtId="0" fontId="7" fillId="0" borderId="0" xfId="0" applyFont="1"/>
    <xf numFmtId="4" fontId="9" fillId="4" borderId="2" xfId="0" applyNumberFormat="1" applyFont="1" applyFill="1" applyBorder="1" applyAlignment="1">
      <alignment horizontal="left" vertical="center" wrapText="1"/>
    </xf>
    <xf numFmtId="4" fontId="9" fillId="4" borderId="2" xfId="0" applyNumberFormat="1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4" fontId="10" fillId="7" borderId="2" xfId="0" applyNumberFormat="1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4" fontId="10" fillId="6" borderId="2" xfId="0" applyNumberFormat="1" applyFont="1" applyFill="1" applyBorder="1" applyAlignment="1">
      <alignment horizontal="left" vertical="center" wrapText="1"/>
    </xf>
    <xf numFmtId="4" fontId="1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left" vertical="center"/>
    </xf>
    <xf numFmtId="49" fontId="10" fillId="7" borderId="2" xfId="0" applyNumberFormat="1" applyFont="1" applyFill="1" applyBorder="1" applyAlignment="1">
      <alignment horizontal="left" vertical="center" wrapText="1"/>
    </xf>
    <xf numFmtId="49" fontId="10" fillId="6" borderId="2" xfId="0" applyNumberFormat="1" applyFont="1" applyFill="1" applyBorder="1" applyAlignment="1">
      <alignment horizontal="left" vertical="center" wrapText="1"/>
    </xf>
    <xf numFmtId="164" fontId="10" fillId="6" borderId="2" xfId="0" applyNumberFormat="1" applyFont="1" applyFill="1" applyBorder="1" applyAlignment="1">
      <alignment horizontal="left" vertical="center" wrapText="1"/>
    </xf>
    <xf numFmtId="164" fontId="10" fillId="7" borderId="2" xfId="0" applyNumberFormat="1" applyFont="1" applyFill="1" applyBorder="1" applyAlignment="1">
      <alignment horizontal="left" vertical="center" wrapText="1"/>
    </xf>
    <xf numFmtId="49" fontId="9" fillId="4" borderId="2" xfId="0" applyNumberFormat="1" applyFont="1" applyFill="1" applyBorder="1" applyAlignment="1">
      <alignment horizontal="left" vertical="center" wrapText="1"/>
    </xf>
    <xf numFmtId="165" fontId="10" fillId="7" borderId="2" xfId="0" applyNumberFormat="1" applyFont="1" applyFill="1" applyBorder="1" applyAlignment="1">
      <alignment horizontal="left" vertical="center" wrapText="1"/>
    </xf>
    <xf numFmtId="165" fontId="10" fillId="6" borderId="2" xfId="0" applyNumberFormat="1" applyFont="1" applyFill="1" applyBorder="1" applyAlignment="1">
      <alignment horizontal="left" vertical="center" wrapText="1"/>
    </xf>
    <xf numFmtId="0" fontId="13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8FAADC"/>
      <rgbColor rgb="FF993366"/>
      <rgbColor rgb="FFFFF2CC"/>
      <rgbColor rgb="FFCCFFFF"/>
      <rgbColor rgb="FF660066"/>
      <rgbColor rgb="FFFF8080"/>
      <rgbColor rgb="FF0070C0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EAADB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showGridLines="0" tabSelected="1" zoomScale="85" zoomScaleNormal="85" workbookViewId="0">
      <pane ySplit="10" topLeftCell="A11" activePane="bottomLeft" state="frozen"/>
      <selection pane="bottomLeft" activeCell="B3" sqref="B3"/>
    </sheetView>
  </sheetViews>
  <sheetFormatPr baseColWidth="10" defaultColWidth="15" defaultRowHeight="13.5" customHeight="1" x14ac:dyDescent="0.25"/>
  <cols>
    <col min="1" max="1" width="3" style="1" customWidth="1"/>
    <col min="2" max="2" width="15" style="1" customWidth="1"/>
    <col min="3" max="4" width="15" style="2" customWidth="1"/>
    <col min="5" max="6" width="15" style="1" customWidth="1"/>
    <col min="7" max="7" width="15" style="2" customWidth="1"/>
    <col min="8" max="9" width="15" style="1" customWidth="1"/>
    <col min="10" max="12" width="15" style="3" customWidth="1"/>
    <col min="13" max="13" width="40" customWidth="1"/>
    <col min="14" max="16384" width="15" style="3"/>
  </cols>
  <sheetData>
    <row r="1" spans="1:13" ht="24" customHeight="1" x14ac:dyDescent="0.2">
      <c r="A1" s="8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.95" customHeight="1" x14ac:dyDescent="0.2">
      <c r="A2" s="9"/>
      <c r="B2" s="10" t="s">
        <v>1</v>
      </c>
      <c r="C2" s="10"/>
      <c r="D2" s="10"/>
      <c r="E2" s="10"/>
      <c r="F2" s="10"/>
      <c r="G2" s="10"/>
      <c r="H2" s="11"/>
      <c r="I2" s="11"/>
      <c r="J2" s="11"/>
      <c r="K2" s="11"/>
      <c r="L2" s="11"/>
      <c r="M2" s="11"/>
    </row>
    <row r="3" spans="1:13" ht="6" customHeight="1" x14ac:dyDescent="0.35">
      <c r="A3" s="12"/>
      <c r="B3" s="12"/>
      <c r="C3" s="13"/>
      <c r="D3" s="13"/>
      <c r="E3" s="12"/>
      <c r="F3" s="12"/>
      <c r="G3" s="13"/>
      <c r="H3" s="12"/>
      <c r="I3" s="12"/>
      <c r="J3" s="12"/>
      <c r="K3" s="12"/>
      <c r="L3" s="12"/>
      <c r="M3" s="14"/>
    </row>
    <row r="4" spans="1:13" ht="15.95" customHeight="1" x14ac:dyDescent="0.2">
      <c r="A4" s="15"/>
      <c r="B4" s="15" t="s">
        <v>2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3" ht="6" customHeight="1" x14ac:dyDescent="0.35">
      <c r="A5" s="12"/>
      <c r="B5" s="12"/>
      <c r="C5" s="13"/>
      <c r="D5" s="13"/>
      <c r="E5" s="12"/>
      <c r="F5" s="12"/>
      <c r="G5" s="13"/>
      <c r="H5" s="12"/>
      <c r="I5" s="12"/>
      <c r="J5" s="12"/>
      <c r="K5" s="12"/>
      <c r="L5" s="12"/>
      <c r="M5" s="14"/>
    </row>
    <row r="6" spans="1:13" ht="15.95" customHeight="1" x14ac:dyDescent="0.2">
      <c r="A6" s="15"/>
      <c r="B6" s="15" t="s">
        <v>3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15.95" customHeight="1" x14ac:dyDescent="0.2">
      <c r="A7" s="15"/>
      <c r="B7" s="15" t="s">
        <v>4</v>
      </c>
      <c r="C7" s="16"/>
      <c r="D7" s="16"/>
      <c r="E7" s="16"/>
      <c r="F7" s="16"/>
      <c r="G7" s="16"/>
      <c r="H7" s="15"/>
      <c r="I7" s="15"/>
      <c r="J7" s="15"/>
      <c r="K7" s="15"/>
      <c r="L7" s="15"/>
      <c r="M7" s="15"/>
    </row>
    <row r="8" spans="1:13" ht="6" customHeight="1" x14ac:dyDescent="0.35">
      <c r="A8" s="12"/>
      <c r="B8" s="12"/>
      <c r="C8" s="17"/>
      <c r="D8" s="18"/>
      <c r="E8" s="12"/>
      <c r="F8" s="12"/>
      <c r="G8" s="19"/>
      <c r="H8" s="12"/>
      <c r="I8" s="12"/>
      <c r="J8" s="12"/>
      <c r="K8" s="12"/>
      <c r="L8" s="12"/>
      <c r="M8" s="14"/>
    </row>
    <row r="9" spans="1:13" ht="15.95" customHeight="1" x14ac:dyDescent="0.2">
      <c r="A9" s="15"/>
      <c r="B9" s="15"/>
      <c r="C9" s="16" t="s">
        <v>5</v>
      </c>
      <c r="D9" s="16"/>
      <c r="E9" s="15"/>
      <c r="F9" s="15"/>
      <c r="G9" s="15"/>
      <c r="H9" s="15"/>
      <c r="I9" s="15"/>
      <c r="J9" s="15"/>
      <c r="K9" s="15"/>
      <c r="L9" s="15"/>
      <c r="M9" s="15"/>
    </row>
    <row r="10" spans="1:13" ht="21.95" customHeight="1" x14ac:dyDescent="0.2">
      <c r="A10" s="20"/>
      <c r="B10" s="20"/>
      <c r="C10" s="20"/>
      <c r="D10" s="20"/>
      <c r="E10" s="20" t="s">
        <v>6</v>
      </c>
      <c r="F10" s="20" t="s">
        <v>7</v>
      </c>
      <c r="G10" s="21" t="s">
        <v>8</v>
      </c>
      <c r="H10" s="20"/>
      <c r="I10" s="20"/>
      <c r="J10" s="20"/>
      <c r="K10" s="20"/>
      <c r="L10" s="20"/>
      <c r="M10" s="20"/>
    </row>
    <row r="11" spans="1:13" ht="18" customHeight="1" x14ac:dyDescent="0.2">
      <c r="A11" s="22"/>
      <c r="B11" s="22"/>
      <c r="C11" s="23" t="s">
        <v>9</v>
      </c>
      <c r="D11" s="24"/>
      <c r="E11" s="25">
        <v>4204.09</v>
      </c>
      <c r="F11" s="25" t="s">
        <v>10</v>
      </c>
      <c r="G11" s="25">
        <f>E9*1.5*1.15</f>
        <v>0</v>
      </c>
      <c r="H11" s="22"/>
      <c r="I11" s="22" t="s">
        <v>11</v>
      </c>
      <c r="J11" s="22" t="s">
        <v>12</v>
      </c>
      <c r="K11" s="22"/>
      <c r="L11" s="22"/>
      <c r="M11" s="22"/>
    </row>
    <row r="12" spans="1:13" ht="18" customHeight="1" x14ac:dyDescent="0.2">
      <c r="A12" s="22"/>
      <c r="B12" s="22"/>
      <c r="C12" s="25" t="s">
        <v>13</v>
      </c>
      <c r="D12" s="25"/>
      <c r="E12" s="25">
        <v>26391.19</v>
      </c>
      <c r="F12" s="25" t="s">
        <v>10</v>
      </c>
      <c r="G12" s="25" t="e">
        <f>E10*1.5*1.15</f>
        <v>#VALUE!</v>
      </c>
      <c r="H12" s="22"/>
      <c r="I12" s="22" t="s">
        <v>14</v>
      </c>
      <c r="J12" s="22" t="s">
        <v>15</v>
      </c>
      <c r="K12" s="22"/>
      <c r="L12" s="22"/>
      <c r="M12" s="22"/>
    </row>
    <row r="13" spans="1:13" ht="18" customHeight="1" x14ac:dyDescent="0.2">
      <c r="A13" s="22"/>
      <c r="B13" s="22"/>
      <c r="C13" s="25" t="s">
        <v>16</v>
      </c>
      <c r="D13" s="22"/>
      <c r="E13" s="25" t="e">
        <f>E9+E10</f>
        <v>#VALUE!</v>
      </c>
      <c r="F13" s="25"/>
      <c r="G13" s="25">
        <f>E11*1.5*1.15</f>
        <v>7252.0552499999994</v>
      </c>
      <c r="H13" s="22"/>
      <c r="I13" s="22"/>
      <c r="J13" s="22" t="s">
        <v>17</v>
      </c>
      <c r="K13" s="22"/>
      <c r="L13" s="22"/>
      <c r="M13" s="22"/>
    </row>
    <row r="14" spans="1:13" ht="6" customHeight="1" x14ac:dyDescent="0.35">
      <c r="A14" s="12"/>
      <c r="B14" s="12"/>
      <c r="C14" s="13"/>
      <c r="D14" s="13"/>
      <c r="E14" s="12"/>
      <c r="F14" s="12"/>
      <c r="G14" s="13"/>
      <c r="H14" s="12"/>
      <c r="I14" s="12"/>
      <c r="J14" s="12"/>
      <c r="K14" s="12"/>
      <c r="L14" s="12"/>
      <c r="M14" s="14"/>
    </row>
    <row r="15" spans="1:13" ht="6" customHeight="1" x14ac:dyDescent="0.35">
      <c r="A15" s="12"/>
      <c r="B15" s="12"/>
      <c r="C15" s="13"/>
      <c r="D15" s="13"/>
      <c r="E15" s="12"/>
      <c r="F15" s="12"/>
      <c r="G15" s="13"/>
      <c r="H15" s="12"/>
      <c r="I15" s="12"/>
      <c r="J15" s="12"/>
      <c r="K15" s="12"/>
      <c r="L15" s="12"/>
      <c r="M15" s="14"/>
    </row>
    <row r="16" spans="1:13" ht="15.95" customHeight="1" x14ac:dyDescent="0.2">
      <c r="A16" s="15"/>
      <c r="B16" s="15" t="s">
        <v>18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ht="15.95" customHeight="1" x14ac:dyDescent="0.2">
      <c r="A17" s="15"/>
      <c r="B17" s="15" t="s">
        <v>19</v>
      </c>
      <c r="C17" s="16"/>
      <c r="D17" s="16"/>
      <c r="E17" s="16"/>
      <c r="F17" s="16"/>
      <c r="G17" s="16"/>
      <c r="H17" s="15"/>
      <c r="I17" s="15"/>
      <c r="J17" s="15"/>
      <c r="K17" s="15"/>
      <c r="L17" s="15"/>
      <c r="M17" s="15"/>
    </row>
    <row r="18" spans="1:13" ht="6" customHeight="1" x14ac:dyDescent="0.35">
      <c r="A18" s="12"/>
      <c r="B18" s="26"/>
      <c r="C18" s="18"/>
      <c r="D18" s="18"/>
      <c r="E18" s="12"/>
      <c r="F18" s="12"/>
      <c r="G18" s="13"/>
      <c r="H18" s="12"/>
      <c r="I18" s="12"/>
      <c r="J18" s="12"/>
      <c r="K18" s="12"/>
      <c r="L18" s="12"/>
      <c r="M18" s="14"/>
    </row>
    <row r="19" spans="1:13" ht="15.95" customHeight="1" x14ac:dyDescent="0.2">
      <c r="A19" s="15"/>
      <c r="B19" s="15"/>
      <c r="C19" s="16" t="s">
        <v>20</v>
      </c>
      <c r="D19" s="16"/>
      <c r="E19" s="15"/>
      <c r="F19" s="15"/>
      <c r="G19" s="15"/>
      <c r="H19" s="15"/>
      <c r="I19" s="15"/>
      <c r="J19" s="15"/>
      <c r="K19" s="15"/>
      <c r="L19" s="15"/>
      <c r="M19" s="15"/>
    </row>
    <row r="20" spans="1:13" ht="18" customHeight="1" x14ac:dyDescent="0.2">
      <c r="A20" s="27"/>
      <c r="B20" s="27"/>
      <c r="C20" s="27" t="s">
        <v>21</v>
      </c>
      <c r="D20" s="27"/>
      <c r="E20" s="27" t="s">
        <v>22</v>
      </c>
      <c r="F20" s="27" t="s">
        <v>23</v>
      </c>
      <c r="G20" s="28" t="s">
        <v>24</v>
      </c>
      <c r="H20" s="27"/>
      <c r="I20" s="27"/>
      <c r="J20" s="27"/>
      <c r="K20" s="27"/>
      <c r="L20" s="27"/>
      <c r="M20" s="27"/>
    </row>
    <row r="21" spans="1:13" ht="18" customHeight="1" x14ac:dyDescent="0.2">
      <c r="A21" s="29"/>
      <c r="B21" s="29"/>
      <c r="C21" s="25">
        <v>33032</v>
      </c>
      <c r="D21" s="29"/>
      <c r="E21" s="29" t="s">
        <v>25</v>
      </c>
      <c r="F21" s="29">
        <v>1.5</v>
      </c>
      <c r="G21" s="30" t="e">
        <f>C19*0.2*F19</f>
        <v>#VALUE!</v>
      </c>
      <c r="H21" s="29"/>
      <c r="I21" s="29" t="s">
        <v>26</v>
      </c>
      <c r="J21" s="29" t="s">
        <v>27</v>
      </c>
      <c r="K21" s="29"/>
      <c r="L21" s="29"/>
      <c r="M21" s="29"/>
    </row>
    <row r="22" spans="1:13" ht="6" customHeight="1" x14ac:dyDescent="0.35">
      <c r="A22" s="12"/>
      <c r="B22" s="12"/>
      <c r="C22" s="31"/>
      <c r="D22" s="18"/>
      <c r="E22" s="32"/>
      <c r="F22" s="32"/>
      <c r="G22" s="18"/>
      <c r="H22" s="12"/>
      <c r="I22" s="12"/>
      <c r="J22" s="12"/>
      <c r="K22" s="12"/>
      <c r="L22" s="12"/>
      <c r="M22" s="14"/>
    </row>
    <row r="23" spans="1:13" ht="15.95" customHeight="1" x14ac:dyDescent="0.2">
      <c r="A23" s="15"/>
      <c r="B23" s="15" t="s">
        <v>28</v>
      </c>
      <c r="C23" s="33"/>
      <c r="D23" s="16"/>
      <c r="E23" s="15"/>
      <c r="F23" s="15"/>
      <c r="G23" s="34"/>
      <c r="H23" s="15"/>
      <c r="I23" s="15"/>
      <c r="J23" s="15"/>
      <c r="K23" s="15"/>
      <c r="L23" s="15"/>
      <c r="M23" s="15"/>
    </row>
    <row r="24" spans="1:13" ht="15.95" customHeight="1" x14ac:dyDescent="0.2">
      <c r="A24" s="15"/>
      <c r="B24" s="15"/>
      <c r="C24" s="16" t="s">
        <v>29</v>
      </c>
      <c r="D24" s="16"/>
      <c r="E24" s="16"/>
      <c r="F24" s="16"/>
      <c r="G24" s="16"/>
      <c r="H24" s="15"/>
      <c r="I24" s="15"/>
      <c r="J24" s="15"/>
      <c r="K24" s="15"/>
      <c r="L24" s="15"/>
      <c r="M24" s="15"/>
    </row>
    <row r="25" spans="1:13" ht="18" customHeight="1" x14ac:dyDescent="0.2">
      <c r="A25" s="27"/>
      <c r="B25" s="27"/>
      <c r="C25" s="35" t="s">
        <v>30</v>
      </c>
      <c r="D25" s="35"/>
      <c r="E25" s="27" t="s">
        <v>31</v>
      </c>
      <c r="F25" s="27" t="s">
        <v>32</v>
      </c>
      <c r="G25" s="28" t="s">
        <v>33</v>
      </c>
      <c r="H25" s="27"/>
      <c r="I25" s="27"/>
      <c r="J25" s="27"/>
      <c r="K25" s="27"/>
      <c r="L25" s="27"/>
      <c r="M25" s="27"/>
    </row>
    <row r="26" spans="1:13" ht="15.95" customHeight="1" x14ac:dyDescent="0.2">
      <c r="A26" s="15"/>
      <c r="B26" s="15"/>
      <c r="C26" s="16" t="s">
        <v>34</v>
      </c>
      <c r="D26" s="16"/>
      <c r="E26" s="15"/>
      <c r="F26" s="15"/>
      <c r="G26" s="15"/>
      <c r="H26" s="15"/>
      <c r="I26" s="15"/>
      <c r="J26" s="15"/>
      <c r="K26" s="15"/>
      <c r="L26" s="15"/>
      <c r="M26" s="15"/>
    </row>
    <row r="27" spans="1:13" ht="18" customHeight="1" x14ac:dyDescent="0.2">
      <c r="A27" s="29"/>
      <c r="B27" s="29"/>
      <c r="C27" s="36" t="s">
        <v>35</v>
      </c>
      <c r="D27" s="37"/>
      <c r="E27" s="29">
        <v>5</v>
      </c>
      <c r="F27" s="30" t="e">
        <f>(G19*E25)/100</f>
        <v>#VALUE!</v>
      </c>
      <c r="G27" s="30" t="e">
        <f>F25/2.55</f>
        <v>#VALUE!</v>
      </c>
      <c r="H27" s="29"/>
      <c r="I27" s="29"/>
      <c r="J27" s="29"/>
      <c r="K27" s="29"/>
      <c r="L27" s="29"/>
      <c r="M27" s="29"/>
    </row>
    <row r="28" spans="1:13" ht="18" customHeight="1" x14ac:dyDescent="0.2">
      <c r="A28" s="27"/>
      <c r="B28" s="27"/>
      <c r="C28" s="38" t="s">
        <v>36</v>
      </c>
      <c r="D28" s="35"/>
      <c r="E28" s="27">
        <v>4</v>
      </c>
      <c r="F28" s="28">
        <f>(G19*E26)/100</f>
        <v>0</v>
      </c>
      <c r="G28" s="28">
        <f>F26/4</f>
        <v>0</v>
      </c>
      <c r="H28" s="27"/>
      <c r="I28" s="27"/>
      <c r="J28" s="27"/>
      <c r="K28" s="27"/>
      <c r="L28" s="27"/>
      <c r="M28" s="27"/>
    </row>
    <row r="29" spans="1:13" ht="18" customHeight="1" x14ac:dyDescent="0.2">
      <c r="A29" s="29"/>
      <c r="B29" s="29"/>
      <c r="C29" s="36" t="s">
        <v>37</v>
      </c>
      <c r="D29" s="37"/>
      <c r="E29" s="29">
        <v>2.5</v>
      </c>
      <c r="F29" s="30">
        <f>(G19*E27)/100</f>
        <v>0</v>
      </c>
      <c r="G29" s="30" t="e">
        <f>F27/7.5</f>
        <v>#VALUE!</v>
      </c>
      <c r="H29" s="29"/>
      <c r="I29" s="29"/>
      <c r="J29" s="29"/>
      <c r="K29" s="29"/>
      <c r="L29" s="29"/>
      <c r="M29" s="29"/>
    </row>
    <row r="30" spans="1:13" ht="18" customHeight="1" x14ac:dyDescent="0.2">
      <c r="A30" s="27"/>
      <c r="B30" s="27"/>
      <c r="C30" s="38" t="s">
        <v>38</v>
      </c>
      <c r="D30" s="35"/>
      <c r="E30" s="27">
        <v>0.3</v>
      </c>
      <c r="F30" s="28">
        <f>(G19*E28)/100</f>
        <v>0</v>
      </c>
      <c r="G30" s="28">
        <f>F28/1.1</f>
        <v>0</v>
      </c>
      <c r="H30" s="27"/>
      <c r="I30" s="27"/>
      <c r="J30" s="27"/>
      <c r="K30" s="27"/>
      <c r="L30" s="27"/>
      <c r="M30" s="27"/>
    </row>
    <row r="31" spans="1:13" ht="18" customHeight="1" x14ac:dyDescent="0.2">
      <c r="A31" s="29"/>
      <c r="B31" s="29"/>
      <c r="C31" s="36" t="s">
        <v>39</v>
      </c>
      <c r="D31" s="37"/>
      <c r="E31" s="29">
        <v>1.5</v>
      </c>
      <c r="F31" s="30">
        <f>(G19*E29)/100</f>
        <v>0</v>
      </c>
      <c r="G31" s="30">
        <f>F29/1.4</f>
        <v>0</v>
      </c>
      <c r="H31" s="29"/>
      <c r="I31" s="29"/>
      <c r="J31" s="29"/>
      <c r="K31" s="29"/>
      <c r="L31" s="29"/>
      <c r="M31" s="29"/>
    </row>
    <row r="32" spans="1:13" ht="18" customHeight="1" x14ac:dyDescent="0.2">
      <c r="A32" s="27"/>
      <c r="B32" s="27"/>
      <c r="C32" s="38" t="s">
        <v>40</v>
      </c>
      <c r="D32" s="35"/>
      <c r="E32" s="27">
        <v>0.5</v>
      </c>
      <c r="F32" s="28">
        <f>(G19*E30)/100</f>
        <v>0</v>
      </c>
      <c r="G32" s="28">
        <f>F30/2.5</f>
        <v>0</v>
      </c>
      <c r="H32" s="27"/>
      <c r="I32" s="27"/>
      <c r="J32" s="27"/>
      <c r="K32" s="27"/>
      <c r="L32" s="27"/>
      <c r="M32" s="27"/>
    </row>
    <row r="33" spans="1:13" ht="15.95" customHeight="1" x14ac:dyDescent="0.2">
      <c r="A33" s="15"/>
      <c r="B33" s="15"/>
      <c r="C33" s="33" t="s">
        <v>41</v>
      </c>
      <c r="D33" s="16"/>
      <c r="E33" s="16"/>
      <c r="F33" s="16"/>
      <c r="G33" s="16"/>
      <c r="H33" s="15"/>
      <c r="I33" s="15"/>
      <c r="J33" s="15"/>
      <c r="K33" s="15"/>
      <c r="L33" s="15"/>
      <c r="M33" s="15"/>
    </row>
    <row r="34" spans="1:13" ht="18" customHeight="1" x14ac:dyDescent="0.2">
      <c r="A34" s="29"/>
      <c r="B34" s="29"/>
      <c r="C34" s="36" t="s">
        <v>42</v>
      </c>
      <c r="D34" s="37"/>
      <c r="E34" s="29">
        <f>SUM(E25:E31)</f>
        <v>13.3</v>
      </c>
      <c r="F34" s="30" t="e">
        <f>SUM(F25:F31)</f>
        <v>#VALUE!</v>
      </c>
      <c r="G34" s="30" t="e">
        <f>SUM(G25:G31)</f>
        <v>#VALUE!</v>
      </c>
      <c r="H34" s="29"/>
      <c r="I34" s="29"/>
      <c r="J34" s="29"/>
      <c r="K34" s="29"/>
      <c r="L34" s="29"/>
      <c r="M34" s="29"/>
    </row>
    <row r="35" spans="1:13" ht="15.95" customHeight="1" x14ac:dyDescent="0.2">
      <c r="A35" s="15"/>
      <c r="B35" s="15"/>
      <c r="C35" s="16" t="s">
        <v>43</v>
      </c>
      <c r="D35" s="16"/>
      <c r="E35" s="15"/>
      <c r="F35" s="15"/>
      <c r="G35" s="15"/>
      <c r="H35" s="15"/>
      <c r="I35" s="15"/>
      <c r="J35" s="15"/>
      <c r="K35" s="15"/>
      <c r="L35" s="15"/>
      <c r="M35" s="15"/>
    </row>
    <row r="36" spans="1:13" ht="18" customHeight="1" x14ac:dyDescent="0.2">
      <c r="A36" s="27"/>
      <c r="B36" s="27"/>
      <c r="C36" s="38" t="s">
        <v>44</v>
      </c>
      <c r="D36" s="35"/>
      <c r="E36" s="27">
        <v>4</v>
      </c>
      <c r="F36" s="28">
        <f>(G19*E34)/100</f>
        <v>0</v>
      </c>
      <c r="G36" s="28" t="e">
        <f>F34/1.5</f>
        <v>#VALUE!</v>
      </c>
      <c r="H36" s="27"/>
      <c r="I36" s="27"/>
      <c r="J36" s="27"/>
      <c r="K36" s="27"/>
      <c r="L36" s="27"/>
      <c r="M36" s="27"/>
    </row>
    <row r="37" spans="1:13" ht="18" customHeight="1" x14ac:dyDescent="0.2">
      <c r="A37" s="29"/>
      <c r="B37" s="29"/>
      <c r="C37" s="36" t="s">
        <v>45</v>
      </c>
      <c r="D37" s="37"/>
      <c r="E37" s="29">
        <v>12</v>
      </c>
      <c r="F37" s="30">
        <f>(G19*E35)/100</f>
        <v>0</v>
      </c>
      <c r="G37" s="30">
        <f>F35/2.4</f>
        <v>0</v>
      </c>
      <c r="H37" s="29"/>
      <c r="I37" s="29"/>
      <c r="J37" s="29"/>
      <c r="K37" s="29"/>
      <c r="L37" s="29"/>
      <c r="M37" s="29"/>
    </row>
    <row r="38" spans="1:13" ht="18" customHeight="1" x14ac:dyDescent="0.2">
      <c r="A38" s="27"/>
      <c r="B38" s="27"/>
      <c r="C38" s="38" t="s">
        <v>46</v>
      </c>
      <c r="D38" s="35"/>
      <c r="E38" s="27">
        <v>15</v>
      </c>
      <c r="F38" s="28">
        <f>(G19*E36)/100</f>
        <v>0</v>
      </c>
      <c r="G38" s="28">
        <f>F36/1.35</f>
        <v>0</v>
      </c>
      <c r="H38" s="27"/>
      <c r="I38" s="27"/>
      <c r="J38" s="27"/>
      <c r="K38" s="27"/>
      <c r="L38" s="27"/>
      <c r="M38" s="27"/>
    </row>
    <row r="39" spans="1:13" ht="15.95" customHeight="1" x14ac:dyDescent="0.2">
      <c r="A39" s="15"/>
      <c r="B39" s="15"/>
      <c r="C39" s="33" t="s">
        <v>47</v>
      </c>
      <c r="D39" s="16"/>
      <c r="E39" s="16"/>
      <c r="F39" s="16"/>
      <c r="G39" s="16"/>
      <c r="H39" s="15"/>
      <c r="I39" s="15"/>
      <c r="J39" s="15"/>
      <c r="K39" s="15"/>
      <c r="L39" s="15"/>
      <c r="M39" s="15"/>
    </row>
    <row r="40" spans="1:13" ht="18" customHeight="1" x14ac:dyDescent="0.2">
      <c r="A40" s="29"/>
      <c r="B40" s="29"/>
      <c r="C40" s="36" t="s">
        <v>48</v>
      </c>
      <c r="D40" s="37"/>
      <c r="E40" s="29">
        <f>SUM(E34:E37)</f>
        <v>29.3</v>
      </c>
      <c r="F40" s="30" t="e">
        <f>SUM(F34:F37)</f>
        <v>#VALUE!</v>
      </c>
      <c r="G40" s="30" t="e">
        <f>SUM(G34:G37)</f>
        <v>#VALUE!</v>
      </c>
      <c r="H40" s="29"/>
      <c r="I40" s="29"/>
      <c r="J40" s="29"/>
      <c r="K40" s="29"/>
      <c r="L40" s="29"/>
      <c r="M40" s="29"/>
    </row>
    <row r="41" spans="1:13" ht="15.95" customHeight="1" x14ac:dyDescent="0.2">
      <c r="A41" s="15"/>
      <c r="B41" s="15"/>
      <c r="C41" s="16" t="s">
        <v>49</v>
      </c>
      <c r="D41" s="16"/>
      <c r="E41" s="15"/>
      <c r="F41" s="15"/>
      <c r="G41" s="15"/>
      <c r="H41" s="15"/>
      <c r="I41" s="15"/>
      <c r="J41" s="15"/>
      <c r="K41" s="15"/>
      <c r="L41" s="15"/>
      <c r="M41" s="15"/>
    </row>
    <row r="42" spans="1:13" ht="18" customHeight="1" x14ac:dyDescent="0.2">
      <c r="A42" s="27"/>
      <c r="B42" s="27"/>
      <c r="C42" s="38" t="s">
        <v>50</v>
      </c>
      <c r="D42" s="35"/>
      <c r="E42" s="27">
        <v>1.5</v>
      </c>
      <c r="F42" s="28">
        <f>(G19*E40)/100</f>
        <v>0</v>
      </c>
      <c r="G42" s="28" t="e">
        <f>F40/1.8</f>
        <v>#VALUE!</v>
      </c>
      <c r="H42" s="27"/>
      <c r="I42" s="27"/>
      <c r="J42" s="27"/>
      <c r="K42" s="27"/>
      <c r="L42" s="27"/>
      <c r="M42" s="27"/>
    </row>
    <row r="43" spans="1:13" ht="18" customHeight="1" x14ac:dyDescent="0.2">
      <c r="A43" s="29"/>
      <c r="B43" s="29"/>
      <c r="C43" s="30" t="s">
        <v>51</v>
      </c>
      <c r="D43" s="29"/>
      <c r="E43" s="29">
        <v>0.5</v>
      </c>
      <c r="F43" s="30">
        <f>(G19*E41)/100</f>
        <v>0</v>
      </c>
      <c r="G43" s="30">
        <f>F41/1.8</f>
        <v>0</v>
      </c>
      <c r="H43" s="29"/>
      <c r="I43" s="29"/>
      <c r="J43" s="29"/>
      <c r="K43" s="29"/>
      <c r="L43" s="29"/>
      <c r="M43" s="29"/>
    </row>
    <row r="44" spans="1:13" ht="18" customHeight="1" x14ac:dyDescent="0.2">
      <c r="A44" s="27"/>
      <c r="B44" s="27"/>
      <c r="C44" s="28" t="s">
        <v>52</v>
      </c>
      <c r="D44" s="27"/>
      <c r="E44" s="27">
        <f>SUM(E40:E41)</f>
        <v>29.3</v>
      </c>
      <c r="F44" s="28" t="e">
        <f>SUM(F40:F41)</f>
        <v>#VALUE!</v>
      </c>
      <c r="G44" s="28" t="e">
        <f>SUM(G40:G41)</f>
        <v>#VALUE!</v>
      </c>
      <c r="H44" s="27"/>
      <c r="I44" s="27"/>
      <c r="J44" s="27"/>
      <c r="K44" s="27"/>
      <c r="L44" s="27"/>
      <c r="M44" s="27"/>
    </row>
    <row r="45" spans="1:13" ht="6" customHeight="1" x14ac:dyDescent="0.35">
      <c r="A45" s="12"/>
      <c r="B45" s="12"/>
      <c r="C45" s="39"/>
      <c r="D45" s="39"/>
      <c r="E45" s="40"/>
      <c r="F45" s="41"/>
      <c r="G45" s="42"/>
      <c r="H45" s="12"/>
      <c r="I45" s="12"/>
      <c r="J45" s="12"/>
      <c r="K45" s="12"/>
      <c r="L45" s="12"/>
      <c r="M45" s="14"/>
    </row>
    <row r="46" spans="1:13" ht="6" customHeight="1" x14ac:dyDescent="0.35">
      <c r="A46" s="12"/>
      <c r="B46" s="12"/>
      <c r="C46" s="39"/>
      <c r="D46" s="39"/>
      <c r="E46" s="40"/>
      <c r="F46" s="41"/>
      <c r="G46" s="42"/>
      <c r="H46" s="12"/>
      <c r="I46" s="12"/>
      <c r="J46" s="12"/>
      <c r="K46" s="12"/>
      <c r="L46" s="12"/>
      <c r="M46" s="14"/>
    </row>
    <row r="47" spans="1:13" ht="15.95" customHeight="1" x14ac:dyDescent="0.2">
      <c r="A47" s="15"/>
      <c r="B47" s="15" t="s">
        <v>53</v>
      </c>
      <c r="C47" s="34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ht="15.95" customHeight="1" x14ac:dyDescent="0.2">
      <c r="A48" s="15"/>
      <c r="B48" s="15" t="s">
        <v>19</v>
      </c>
      <c r="C48" s="16"/>
      <c r="D48" s="16"/>
      <c r="E48" s="16"/>
      <c r="F48" s="16"/>
      <c r="G48" s="16"/>
      <c r="H48" s="16"/>
      <c r="I48" s="15"/>
      <c r="J48" s="15"/>
      <c r="K48" s="15"/>
      <c r="L48" s="15"/>
      <c r="M48" s="15"/>
    </row>
    <row r="49" spans="1:13" ht="6" customHeight="1" x14ac:dyDescent="0.35">
      <c r="A49" s="12"/>
      <c r="B49" s="26"/>
      <c r="C49" s="18"/>
      <c r="D49" s="18"/>
      <c r="E49" s="32"/>
      <c r="F49" s="32"/>
      <c r="G49" s="18"/>
      <c r="H49" s="32"/>
      <c r="I49" s="12"/>
      <c r="J49" s="12"/>
      <c r="K49" s="12"/>
      <c r="L49" s="12"/>
      <c r="M49" s="14"/>
    </row>
    <row r="50" spans="1:13" ht="15.95" customHeight="1" x14ac:dyDescent="0.2">
      <c r="A50" s="15"/>
      <c r="B50" s="15"/>
      <c r="C50" s="16" t="s">
        <v>54</v>
      </c>
      <c r="D50" s="16"/>
      <c r="E50" s="15"/>
      <c r="F50" s="15"/>
      <c r="G50" s="15"/>
      <c r="H50" s="15"/>
      <c r="I50" s="15"/>
      <c r="J50" s="15"/>
      <c r="K50" s="15"/>
      <c r="L50" s="15"/>
      <c r="M50" s="15"/>
    </row>
    <row r="51" spans="1:13" ht="18" customHeight="1" x14ac:dyDescent="0.2">
      <c r="A51" s="29"/>
      <c r="B51" s="29"/>
      <c r="C51" s="37" t="s">
        <v>55</v>
      </c>
      <c r="D51" s="37"/>
      <c r="E51" s="29" t="s">
        <v>56</v>
      </c>
      <c r="F51" s="29"/>
      <c r="G51" s="30" t="s">
        <v>57</v>
      </c>
      <c r="H51" s="29"/>
      <c r="I51" s="29"/>
      <c r="J51" s="29"/>
      <c r="K51" s="29"/>
      <c r="L51" s="29"/>
      <c r="M51" s="29"/>
    </row>
    <row r="52" spans="1:13" ht="18" customHeight="1" x14ac:dyDescent="0.2">
      <c r="A52" s="27"/>
      <c r="B52" s="27"/>
      <c r="C52" s="38" t="s">
        <v>58</v>
      </c>
      <c r="D52" s="35"/>
      <c r="E52" s="28">
        <v>207</v>
      </c>
      <c r="F52" s="27" t="s">
        <v>59</v>
      </c>
      <c r="G52" s="28">
        <f>E50/0.3</f>
        <v>0</v>
      </c>
      <c r="H52" s="27" t="s">
        <v>60</v>
      </c>
      <c r="I52" s="27" t="s">
        <v>61</v>
      </c>
      <c r="J52" s="27"/>
      <c r="K52" s="27"/>
      <c r="L52" s="27"/>
      <c r="M52" s="27"/>
    </row>
    <row r="53" spans="1:13" ht="18" customHeight="1" x14ac:dyDescent="0.2">
      <c r="A53" s="29"/>
      <c r="B53" s="29"/>
      <c r="C53" s="36" t="s">
        <v>62</v>
      </c>
      <c r="D53" s="37"/>
      <c r="E53" s="30">
        <v>521</v>
      </c>
      <c r="F53" s="29" t="s">
        <v>60</v>
      </c>
      <c r="G53" s="30" t="str">
        <f>E51</f>
        <v>medición (PU)</v>
      </c>
      <c r="H53" s="29" t="s">
        <v>60</v>
      </c>
      <c r="I53" s="29" t="s">
        <v>63</v>
      </c>
      <c r="J53" s="29"/>
      <c r="K53" s="29"/>
      <c r="L53" s="29"/>
      <c r="M53" s="29"/>
    </row>
    <row r="54" spans="1:13" ht="18" customHeight="1" x14ac:dyDescent="0.2">
      <c r="A54" s="27"/>
      <c r="B54" s="27"/>
      <c r="C54" s="38" t="s">
        <v>64</v>
      </c>
      <c r="D54" s="35"/>
      <c r="E54" s="28">
        <v>67</v>
      </c>
      <c r="F54" s="27" t="s">
        <v>60</v>
      </c>
      <c r="G54" s="28">
        <f>E52</f>
        <v>207</v>
      </c>
      <c r="H54" s="27" t="s">
        <v>60</v>
      </c>
      <c r="I54" s="27" t="s">
        <v>65</v>
      </c>
      <c r="J54" s="27"/>
      <c r="K54" s="27"/>
      <c r="L54" s="27"/>
      <c r="M54" s="27"/>
    </row>
    <row r="55" spans="1:13" ht="18" customHeight="1" x14ac:dyDescent="0.2">
      <c r="A55" s="29"/>
      <c r="B55" s="29"/>
      <c r="C55" s="36" t="s">
        <v>66</v>
      </c>
      <c r="D55" s="37"/>
      <c r="E55" s="30">
        <v>100</v>
      </c>
      <c r="F55" s="29" t="s">
        <v>67</v>
      </c>
      <c r="G55" s="30">
        <f>E53</f>
        <v>521</v>
      </c>
      <c r="H55" s="29" t="s">
        <v>67</v>
      </c>
      <c r="I55" s="29" t="s">
        <v>68</v>
      </c>
      <c r="J55" s="29"/>
      <c r="K55" s="29"/>
      <c r="L55" s="29"/>
      <c r="M55" s="29"/>
    </row>
    <row r="56" spans="1:13" ht="18" customHeight="1" x14ac:dyDescent="0.2">
      <c r="A56" s="27"/>
      <c r="B56" s="27"/>
      <c r="C56" s="38" t="s">
        <v>69</v>
      </c>
      <c r="D56" s="35"/>
      <c r="E56" s="28">
        <v>35</v>
      </c>
      <c r="F56" s="27" t="s">
        <v>60</v>
      </c>
      <c r="G56" s="28">
        <f>E54/2</f>
        <v>33.5</v>
      </c>
      <c r="H56" s="27" t="s">
        <v>67</v>
      </c>
      <c r="I56" s="27" t="s">
        <v>70</v>
      </c>
      <c r="J56" s="27"/>
      <c r="K56" s="27"/>
      <c r="L56" s="27"/>
      <c r="M56" s="27"/>
    </row>
    <row r="57" spans="1:13" ht="18" customHeight="1" x14ac:dyDescent="0.2">
      <c r="A57" s="29"/>
      <c r="B57" s="29"/>
      <c r="C57" s="36" t="s">
        <v>71</v>
      </c>
      <c r="D57" s="37"/>
      <c r="E57" s="30">
        <v>0</v>
      </c>
      <c r="F57" s="29" t="s">
        <v>67</v>
      </c>
      <c r="G57" s="30">
        <f>E55</f>
        <v>100</v>
      </c>
      <c r="H57" s="29" t="s">
        <v>67</v>
      </c>
      <c r="I57" s="29"/>
      <c r="J57" s="29"/>
      <c r="K57" s="29"/>
      <c r="L57" s="29"/>
      <c r="M57" s="29"/>
    </row>
    <row r="58" spans="1:13" ht="18" customHeight="1" x14ac:dyDescent="0.2">
      <c r="A58" s="27"/>
      <c r="B58" s="27"/>
      <c r="C58" s="28" t="s">
        <v>72</v>
      </c>
      <c r="D58" s="27"/>
      <c r="E58" s="28">
        <v>10</v>
      </c>
      <c r="F58" s="27" t="s">
        <v>59</v>
      </c>
      <c r="G58" s="28">
        <f>E56</f>
        <v>35</v>
      </c>
      <c r="H58" s="27" t="s">
        <v>59</v>
      </c>
      <c r="I58" s="27"/>
      <c r="J58" s="27"/>
      <c r="K58" s="27"/>
      <c r="L58" s="27"/>
      <c r="M58" s="27"/>
    </row>
    <row r="59" spans="1:13" ht="18" customHeight="1" x14ac:dyDescent="0.2">
      <c r="A59" s="29"/>
      <c r="B59" s="29"/>
      <c r="C59" s="30" t="s">
        <v>73</v>
      </c>
      <c r="D59" s="29"/>
      <c r="E59" s="30">
        <v>0</v>
      </c>
      <c r="F59" s="29" t="s">
        <v>67</v>
      </c>
      <c r="G59" s="30">
        <f>E57</f>
        <v>0</v>
      </c>
      <c r="H59" s="29" t="s">
        <v>67</v>
      </c>
      <c r="I59" s="29" t="s">
        <v>74</v>
      </c>
      <c r="J59" s="29"/>
      <c r="K59" s="29"/>
      <c r="L59" s="29"/>
      <c r="M59" s="29"/>
    </row>
    <row r="60" spans="1:13" ht="6" customHeight="1" x14ac:dyDescent="0.35">
      <c r="A60" s="12"/>
      <c r="B60" s="12"/>
      <c r="C60" s="43"/>
      <c r="D60" s="18"/>
      <c r="E60" s="32"/>
      <c r="F60" s="32"/>
      <c r="G60" s="18"/>
      <c r="H60" s="40"/>
      <c r="I60" s="12"/>
      <c r="J60" s="12"/>
      <c r="K60" s="12"/>
      <c r="L60" s="12"/>
      <c r="M60" s="14"/>
    </row>
    <row r="61" spans="1:13" ht="15.95" customHeight="1" x14ac:dyDescent="0.2">
      <c r="A61" s="15"/>
      <c r="B61" s="15" t="s">
        <v>29</v>
      </c>
      <c r="C61" s="33"/>
      <c r="D61" s="16"/>
      <c r="E61" s="15"/>
      <c r="F61" s="15"/>
      <c r="G61" s="34"/>
      <c r="H61" s="15"/>
      <c r="I61" s="15"/>
      <c r="J61" s="15"/>
      <c r="K61" s="15"/>
      <c r="L61" s="15"/>
      <c r="M61" s="15"/>
    </row>
    <row r="62" spans="1:13" ht="15.95" customHeight="1" x14ac:dyDescent="0.2">
      <c r="A62" s="15"/>
      <c r="B62" s="15"/>
      <c r="C62" s="16" t="s">
        <v>29</v>
      </c>
      <c r="D62" s="16"/>
      <c r="E62" s="16"/>
      <c r="F62" s="16"/>
      <c r="G62" s="16"/>
      <c r="H62" s="15"/>
      <c r="I62" s="15"/>
      <c r="J62" s="15"/>
      <c r="K62" s="15"/>
      <c r="L62" s="15"/>
      <c r="M62" s="15"/>
    </row>
    <row r="63" spans="1:13" ht="18" customHeight="1" x14ac:dyDescent="0.2">
      <c r="A63" s="27"/>
      <c r="B63" s="27"/>
      <c r="C63" s="35" t="s">
        <v>30</v>
      </c>
      <c r="D63" s="35"/>
      <c r="E63" s="27" t="s">
        <v>31</v>
      </c>
      <c r="F63" s="27" t="s">
        <v>32</v>
      </c>
      <c r="G63" s="28" t="s">
        <v>33</v>
      </c>
      <c r="H63" s="27"/>
      <c r="I63" s="27"/>
      <c r="J63" s="27"/>
      <c r="K63" s="27"/>
      <c r="L63" s="27"/>
      <c r="M63" s="27"/>
    </row>
    <row r="64" spans="1:13" ht="15.95" customHeight="1" x14ac:dyDescent="0.2">
      <c r="A64" s="15"/>
      <c r="B64" s="15"/>
      <c r="C64" s="16" t="s">
        <v>34</v>
      </c>
      <c r="D64" s="16"/>
      <c r="E64" s="15"/>
      <c r="F64" s="15"/>
      <c r="G64" s="15"/>
      <c r="H64" s="15"/>
      <c r="I64" s="15"/>
      <c r="J64" s="15"/>
      <c r="K64" s="15"/>
      <c r="L64" s="15"/>
      <c r="M64" s="15"/>
    </row>
    <row r="65" spans="1:13" ht="15.95" customHeight="1" x14ac:dyDescent="0.2">
      <c r="A65" s="15"/>
      <c r="B65" s="15"/>
      <c r="C65" s="33" t="s">
        <v>35</v>
      </c>
      <c r="D65" s="16"/>
      <c r="E65" s="15"/>
      <c r="F65" s="34"/>
      <c r="G65" s="34"/>
      <c r="H65" s="15"/>
      <c r="I65" s="15"/>
      <c r="J65" s="15"/>
      <c r="K65" s="15"/>
      <c r="L65" s="15"/>
      <c r="M65" s="15"/>
    </row>
    <row r="66" spans="1:13" ht="18" customHeight="1" x14ac:dyDescent="0.2">
      <c r="A66" s="29"/>
      <c r="B66" s="29"/>
      <c r="C66" s="44" t="s">
        <v>75</v>
      </c>
      <c r="D66" s="37"/>
      <c r="E66" s="29">
        <v>0.184</v>
      </c>
      <c r="F66" s="30">
        <f>G52*E64</f>
        <v>0</v>
      </c>
      <c r="G66" s="30">
        <f>F64/2.55</f>
        <v>0</v>
      </c>
      <c r="H66" s="29"/>
      <c r="I66" s="29"/>
      <c r="J66" s="29"/>
      <c r="K66" s="29"/>
      <c r="L66" s="29"/>
      <c r="M66" s="29"/>
    </row>
    <row r="67" spans="1:13" ht="15.95" customHeight="1" x14ac:dyDescent="0.2">
      <c r="A67" s="15"/>
      <c r="B67" s="15"/>
      <c r="C67" s="33" t="s">
        <v>36</v>
      </c>
      <c r="D67" s="16"/>
      <c r="E67" s="15"/>
      <c r="F67" s="34"/>
      <c r="G67" s="34"/>
      <c r="H67" s="15"/>
      <c r="I67" s="15"/>
      <c r="J67" s="15"/>
      <c r="K67" s="15"/>
      <c r="L67" s="15"/>
      <c r="M67" s="15"/>
    </row>
    <row r="68" spans="1:13" ht="18" customHeight="1" x14ac:dyDescent="0.2">
      <c r="A68" s="27"/>
      <c r="B68" s="27"/>
      <c r="C68" s="45" t="s">
        <v>76</v>
      </c>
      <c r="D68" s="35"/>
      <c r="E68" s="27">
        <v>6.9999999999999999E-4</v>
      </c>
      <c r="F68" s="46">
        <f>G50*E66</f>
        <v>0</v>
      </c>
      <c r="G68" s="28">
        <f>F66/1.1</f>
        <v>0</v>
      </c>
      <c r="H68" s="27"/>
      <c r="I68" s="27"/>
      <c r="J68" s="27"/>
      <c r="K68" s="27"/>
      <c r="L68" s="27"/>
      <c r="M68" s="27"/>
    </row>
    <row r="69" spans="1:13" ht="18" customHeight="1" x14ac:dyDescent="0.2">
      <c r="A69" s="29"/>
      <c r="B69" s="29"/>
      <c r="C69" s="44" t="s">
        <v>77</v>
      </c>
      <c r="D69" s="37"/>
      <c r="E69" s="29">
        <v>5.0000000000000001E-3</v>
      </c>
      <c r="F69" s="47">
        <f>G56*E67</f>
        <v>0</v>
      </c>
      <c r="G69" s="30">
        <f>F67/1.1</f>
        <v>0</v>
      </c>
      <c r="H69" s="29"/>
      <c r="I69" s="29"/>
      <c r="J69" s="29"/>
      <c r="K69" s="29"/>
      <c r="L69" s="29"/>
      <c r="M69" s="29"/>
    </row>
    <row r="70" spans="1:13" ht="15.95" customHeight="1" x14ac:dyDescent="0.2">
      <c r="A70" s="15"/>
      <c r="B70" s="15"/>
      <c r="C70" s="33" t="s">
        <v>37</v>
      </c>
      <c r="D70" s="16"/>
      <c r="E70" s="15"/>
      <c r="F70" s="34"/>
      <c r="G70" s="34"/>
      <c r="H70" s="15"/>
      <c r="I70" s="15"/>
      <c r="J70" s="15"/>
      <c r="K70" s="15"/>
      <c r="L70" s="15"/>
      <c r="M70" s="15"/>
    </row>
    <row r="71" spans="1:13" ht="18" customHeight="1" x14ac:dyDescent="0.2">
      <c r="A71" s="27"/>
      <c r="B71" s="27"/>
      <c r="C71" s="45" t="s">
        <v>78</v>
      </c>
      <c r="D71" s="35"/>
      <c r="E71" s="27">
        <v>5.7000000000000002E-3</v>
      </c>
      <c r="F71" s="28">
        <f>G54*E69</f>
        <v>1.0349999999999999</v>
      </c>
      <c r="G71" s="28">
        <f>F69/7.5</f>
        <v>0</v>
      </c>
      <c r="H71" s="27"/>
      <c r="I71" s="27"/>
      <c r="J71" s="27"/>
      <c r="K71" s="27"/>
      <c r="L71" s="27"/>
      <c r="M71" s="27"/>
    </row>
    <row r="72" spans="1:13" ht="18" customHeight="1" x14ac:dyDescent="0.2">
      <c r="A72" s="29"/>
      <c r="B72" s="29"/>
      <c r="C72" s="44" t="s">
        <v>79</v>
      </c>
      <c r="D72" s="37"/>
      <c r="E72" s="29">
        <v>7.0000000000000001E-3</v>
      </c>
      <c r="F72" s="30">
        <f>G55*E70</f>
        <v>0</v>
      </c>
      <c r="G72" s="30">
        <f>F70/7.5</f>
        <v>0</v>
      </c>
      <c r="H72" s="29"/>
      <c r="I72" s="29"/>
      <c r="J72" s="29"/>
      <c r="K72" s="29"/>
      <c r="L72" s="29"/>
      <c r="M72" s="29"/>
    </row>
    <row r="73" spans="1:13" ht="18" customHeight="1" x14ac:dyDescent="0.2">
      <c r="A73" s="27"/>
      <c r="B73" s="27"/>
      <c r="C73" s="45" t="s">
        <v>77</v>
      </c>
      <c r="D73" s="35"/>
      <c r="E73" s="27">
        <v>0.06</v>
      </c>
      <c r="F73" s="28">
        <f>G56*E71</f>
        <v>0.19095000000000001</v>
      </c>
      <c r="G73" s="28">
        <f>F71/7.5</f>
        <v>0.13799999999999998</v>
      </c>
      <c r="H73" s="27"/>
      <c r="I73" s="27"/>
      <c r="J73" s="27"/>
      <c r="K73" s="27"/>
      <c r="L73" s="27"/>
      <c r="M73" s="27"/>
    </row>
    <row r="74" spans="1:13" ht="15.95" customHeight="1" x14ac:dyDescent="0.2">
      <c r="A74" s="15"/>
      <c r="B74" s="15"/>
      <c r="C74" s="33" t="s">
        <v>38</v>
      </c>
      <c r="D74" s="16"/>
      <c r="E74" s="15"/>
      <c r="F74" s="34"/>
      <c r="G74" s="34"/>
      <c r="H74" s="15"/>
      <c r="I74" s="15"/>
      <c r="J74" s="15"/>
      <c r="K74" s="15"/>
      <c r="L74" s="15"/>
      <c r="M74" s="15"/>
    </row>
    <row r="75" spans="1:13" ht="18" customHeight="1" x14ac:dyDescent="0.2">
      <c r="A75" s="29"/>
      <c r="B75" s="29"/>
      <c r="C75" s="44" t="s">
        <v>76</v>
      </c>
      <c r="D75" s="37"/>
      <c r="E75" s="29">
        <v>6.9999999999999999E-4</v>
      </c>
      <c r="F75" s="47" t="e">
        <f>G53*E73</f>
        <v>#VALUE!</v>
      </c>
      <c r="G75" s="30">
        <f>F73/1.1</f>
        <v>0.17359090909090907</v>
      </c>
      <c r="H75" s="29"/>
      <c r="I75" s="29"/>
      <c r="J75" s="29"/>
      <c r="K75" s="29"/>
      <c r="L75" s="29"/>
      <c r="M75" s="29"/>
    </row>
    <row r="76" spans="1:13" ht="15.95" customHeight="1" x14ac:dyDescent="0.2">
      <c r="A76" s="15"/>
      <c r="B76" s="15"/>
      <c r="C76" s="33" t="s">
        <v>39</v>
      </c>
      <c r="D76" s="16"/>
      <c r="E76" s="15"/>
      <c r="F76" s="34"/>
      <c r="G76" s="34"/>
      <c r="H76" s="15"/>
      <c r="I76" s="15"/>
      <c r="J76" s="15"/>
      <c r="K76" s="15"/>
      <c r="L76" s="15"/>
      <c r="M76" s="15"/>
    </row>
    <row r="77" spans="1:13" ht="18" customHeight="1" x14ac:dyDescent="0.2">
      <c r="A77" s="27"/>
      <c r="B77" s="27"/>
      <c r="C77" s="45" t="s">
        <v>80</v>
      </c>
      <c r="D77" s="35"/>
      <c r="E77" s="27">
        <v>3.0000000000000001E-5</v>
      </c>
      <c r="F77" s="46" t="e">
        <f>G51*E75</f>
        <v>#VALUE!</v>
      </c>
      <c r="G77" s="46" t="e">
        <f>F75/1.4</f>
        <v>#VALUE!</v>
      </c>
      <c r="H77" s="27"/>
      <c r="I77" s="27"/>
      <c r="J77" s="27"/>
      <c r="K77" s="27"/>
      <c r="L77" s="27"/>
      <c r="M77" s="27"/>
    </row>
    <row r="78" spans="1:13" ht="18" customHeight="1" x14ac:dyDescent="0.2">
      <c r="A78" s="29"/>
      <c r="B78" s="29"/>
      <c r="C78" s="44" t="s">
        <v>76</v>
      </c>
      <c r="D78" s="37"/>
      <c r="E78" s="29">
        <v>6.9999999999999999E-4</v>
      </c>
      <c r="F78" s="47" t="e">
        <f>G53*E76</f>
        <v>#VALUE!</v>
      </c>
      <c r="G78" s="47">
        <f>F76/1.4</f>
        <v>0</v>
      </c>
      <c r="H78" s="29"/>
      <c r="I78" s="29"/>
      <c r="J78" s="29"/>
      <c r="K78" s="29"/>
      <c r="L78" s="29"/>
      <c r="M78" s="29"/>
    </row>
    <row r="79" spans="1:13" ht="18" customHeight="1" x14ac:dyDescent="0.2">
      <c r="A79" s="27"/>
      <c r="B79" s="27"/>
      <c r="C79" s="45" t="s">
        <v>77</v>
      </c>
      <c r="D79" s="35"/>
      <c r="E79" s="27">
        <v>2.9999999999999997E-4</v>
      </c>
      <c r="F79" s="46">
        <f>G56*E77</f>
        <v>1.005E-3</v>
      </c>
      <c r="G79" s="46" t="e">
        <f>F77/1.4</f>
        <v>#VALUE!</v>
      </c>
      <c r="H79" s="27"/>
      <c r="I79" s="27"/>
      <c r="J79" s="27"/>
      <c r="K79" s="27"/>
      <c r="L79" s="27"/>
      <c r="M79" s="27"/>
    </row>
    <row r="80" spans="1:13" ht="18" customHeight="1" x14ac:dyDescent="0.2">
      <c r="A80" s="29"/>
      <c r="B80" s="29"/>
      <c r="C80" s="36" t="s">
        <v>40</v>
      </c>
      <c r="D80" s="37"/>
      <c r="E80" s="29">
        <v>0</v>
      </c>
      <c r="F80" s="30">
        <f>(G50*E78)/100</f>
        <v>0</v>
      </c>
      <c r="G80" s="30" t="e">
        <f>F78/2.5</f>
        <v>#VALUE!</v>
      </c>
      <c r="H80" s="29"/>
      <c r="I80" s="29"/>
      <c r="J80" s="29"/>
      <c r="K80" s="29"/>
      <c r="L80" s="29"/>
      <c r="M80" s="29"/>
    </row>
    <row r="81" spans="1:13" ht="15.95" customHeight="1" x14ac:dyDescent="0.2">
      <c r="A81" s="15"/>
      <c r="B81" s="15"/>
      <c r="C81" s="33" t="s">
        <v>41</v>
      </c>
      <c r="D81" s="16"/>
      <c r="E81" s="15"/>
      <c r="F81" s="34"/>
      <c r="G81" s="34"/>
      <c r="H81" s="15"/>
      <c r="I81" s="15"/>
      <c r="J81" s="15"/>
      <c r="K81" s="15"/>
      <c r="L81" s="15"/>
      <c r="M81" s="15"/>
    </row>
    <row r="82" spans="1:13" ht="15.95" customHeight="1" x14ac:dyDescent="0.2">
      <c r="A82" s="15"/>
      <c r="B82" s="15"/>
      <c r="C82" s="48" t="s">
        <v>76</v>
      </c>
      <c r="D82" s="16"/>
      <c r="E82" s="16"/>
      <c r="F82" s="16"/>
      <c r="G82" s="16"/>
      <c r="H82" s="15"/>
      <c r="I82" s="15"/>
      <c r="J82" s="15"/>
      <c r="K82" s="15"/>
      <c r="L82" s="15"/>
      <c r="M82" s="15"/>
    </row>
    <row r="83" spans="1:13" ht="18" customHeight="1" x14ac:dyDescent="0.2">
      <c r="A83" s="27"/>
      <c r="B83" s="27"/>
      <c r="C83" s="38" t="s">
        <v>42</v>
      </c>
      <c r="D83" s="35"/>
      <c r="E83" s="27"/>
      <c r="F83" s="28" t="e">
        <f>SUM(F63:F80)</f>
        <v>#VALUE!</v>
      </c>
      <c r="G83" s="28" t="e">
        <f>SUM(G63:G80)</f>
        <v>#VALUE!</v>
      </c>
      <c r="H83" s="27"/>
      <c r="I83" s="27"/>
      <c r="J83" s="27"/>
      <c r="K83" s="27"/>
      <c r="L83" s="27"/>
      <c r="M83" s="27"/>
    </row>
    <row r="84" spans="1:13" ht="15.95" customHeight="1" x14ac:dyDescent="0.2">
      <c r="A84" s="15"/>
      <c r="B84" s="15"/>
      <c r="C84" s="16" t="s">
        <v>43</v>
      </c>
      <c r="D84" s="16"/>
      <c r="E84" s="15"/>
      <c r="F84" s="15"/>
      <c r="G84" s="15"/>
      <c r="H84" s="15"/>
      <c r="I84" s="15"/>
      <c r="J84" s="15"/>
      <c r="K84" s="15"/>
      <c r="L84" s="15"/>
      <c r="M84" s="15"/>
    </row>
    <row r="85" spans="1:13" ht="15.95" customHeight="1" x14ac:dyDescent="0.2">
      <c r="A85" s="15"/>
      <c r="B85" s="15"/>
      <c r="C85" s="33" t="s">
        <v>44</v>
      </c>
      <c r="D85" s="16"/>
      <c r="E85" s="15"/>
      <c r="F85" s="34"/>
      <c r="G85" s="34"/>
      <c r="H85" s="15"/>
      <c r="I85" s="15"/>
      <c r="J85" s="15"/>
      <c r="K85" s="15"/>
      <c r="L85" s="15"/>
      <c r="M85" s="15"/>
    </row>
    <row r="86" spans="1:13" ht="18" customHeight="1" x14ac:dyDescent="0.2">
      <c r="A86" s="29"/>
      <c r="B86" s="29"/>
      <c r="C86" s="44" t="s">
        <v>76</v>
      </c>
      <c r="D86" s="37"/>
      <c r="E86" s="49">
        <v>0.83</v>
      </c>
      <c r="F86" s="30" t="e">
        <f>G53*E84</f>
        <v>#VALUE!</v>
      </c>
      <c r="G86" s="30">
        <f>F84/1.5</f>
        <v>0</v>
      </c>
      <c r="H86" s="29"/>
      <c r="I86" s="29"/>
      <c r="J86" s="29"/>
      <c r="K86" s="29"/>
      <c r="L86" s="29"/>
      <c r="M86" s="29"/>
    </row>
    <row r="87" spans="1:13" ht="15.95" customHeight="1" x14ac:dyDescent="0.2">
      <c r="A87" s="15"/>
      <c r="B87" s="15"/>
      <c r="C87" s="33" t="s">
        <v>81</v>
      </c>
      <c r="D87" s="16"/>
      <c r="E87" s="15"/>
      <c r="F87" s="34"/>
      <c r="G87" s="34"/>
      <c r="H87" s="15"/>
      <c r="I87" s="15"/>
      <c r="J87" s="15"/>
      <c r="K87" s="15"/>
      <c r="L87" s="15"/>
      <c r="M87" s="15"/>
    </row>
    <row r="88" spans="1:13" ht="18" customHeight="1" x14ac:dyDescent="0.2">
      <c r="A88" s="27"/>
      <c r="B88" s="27"/>
      <c r="C88" s="45" t="s">
        <v>82</v>
      </c>
      <c r="D88" s="35"/>
      <c r="E88" s="27">
        <v>3.5999999999999997E-2</v>
      </c>
      <c r="F88" s="50">
        <f>G50*E86</f>
        <v>0</v>
      </c>
      <c r="G88" s="28" t="e">
        <f>F86/2.4</f>
        <v>#VALUE!</v>
      </c>
      <c r="H88" s="27"/>
      <c r="I88" s="27"/>
      <c r="J88" s="27"/>
      <c r="K88" s="27"/>
      <c r="L88" s="27"/>
      <c r="M88" s="27"/>
    </row>
    <row r="89" spans="1:13" ht="18" customHeight="1" x14ac:dyDescent="0.2">
      <c r="A89" s="29"/>
      <c r="B89" s="29"/>
      <c r="C89" s="44" t="s">
        <v>80</v>
      </c>
      <c r="D89" s="37"/>
      <c r="E89" s="47">
        <v>0.23</v>
      </c>
      <c r="F89" s="49" t="e">
        <f>G51*E87</f>
        <v>#VALUE!</v>
      </c>
      <c r="G89" s="30">
        <f>F87/2.4</f>
        <v>0</v>
      </c>
      <c r="H89" s="29"/>
      <c r="I89" s="29"/>
      <c r="J89" s="29"/>
      <c r="K89" s="29"/>
      <c r="L89" s="29"/>
      <c r="M89" s="29"/>
    </row>
    <row r="90" spans="1:13" ht="18" customHeight="1" x14ac:dyDescent="0.2">
      <c r="A90" s="27"/>
      <c r="B90" s="27"/>
      <c r="C90" s="45" t="s">
        <v>76</v>
      </c>
      <c r="D90" s="35"/>
      <c r="E90" s="46">
        <v>0.112</v>
      </c>
      <c r="F90" s="50" t="e">
        <f>G53*E88</f>
        <v>#VALUE!</v>
      </c>
      <c r="G90" s="28">
        <f>F88/2.4</f>
        <v>0</v>
      </c>
      <c r="H90" s="27"/>
      <c r="I90" s="27"/>
      <c r="J90" s="27"/>
      <c r="K90" s="27"/>
      <c r="L90" s="27"/>
      <c r="M90" s="27"/>
    </row>
    <row r="91" spans="1:13" ht="18" customHeight="1" x14ac:dyDescent="0.2">
      <c r="A91" s="29"/>
      <c r="B91" s="29"/>
      <c r="C91" s="44" t="s">
        <v>77</v>
      </c>
      <c r="D91" s="37"/>
      <c r="E91" s="47">
        <v>2.2999999999999998</v>
      </c>
      <c r="F91" s="49">
        <f>G56*E89</f>
        <v>7.7050000000000001</v>
      </c>
      <c r="G91" s="30" t="e">
        <f>F89/2.4</f>
        <v>#VALUE!</v>
      </c>
      <c r="H91" s="29"/>
      <c r="I91" s="29"/>
      <c r="J91" s="29"/>
      <c r="K91" s="29"/>
      <c r="L91" s="29"/>
      <c r="M91" s="29"/>
    </row>
    <row r="92" spans="1:13" ht="15.95" customHeight="1" x14ac:dyDescent="0.2">
      <c r="A92" s="15"/>
      <c r="B92" s="15"/>
      <c r="C92" s="33" t="s">
        <v>46</v>
      </c>
      <c r="D92" s="16"/>
      <c r="E92" s="15"/>
      <c r="F92" s="34"/>
      <c r="G92" s="34"/>
      <c r="H92" s="15"/>
      <c r="I92" s="15"/>
      <c r="J92" s="15"/>
      <c r="K92" s="15"/>
      <c r="L92" s="15"/>
      <c r="M92" s="15"/>
    </row>
    <row r="93" spans="1:13" ht="18" customHeight="1" x14ac:dyDescent="0.2">
      <c r="A93" s="27"/>
      <c r="B93" s="27"/>
      <c r="C93" s="45" t="s">
        <v>82</v>
      </c>
      <c r="D93" s="35"/>
      <c r="E93" s="27">
        <v>8.7300000000000003E-2</v>
      </c>
      <c r="F93" s="50">
        <f>G50*E91</f>
        <v>0</v>
      </c>
      <c r="G93" s="28">
        <f>F91/1.35</f>
        <v>5.7074074074074073</v>
      </c>
      <c r="H93" s="27"/>
      <c r="I93" s="27"/>
      <c r="J93" s="27" t="s">
        <v>83</v>
      </c>
      <c r="K93" s="27" t="s">
        <v>84</v>
      </c>
      <c r="L93" s="27" t="s">
        <v>85</v>
      </c>
      <c r="M93" s="27"/>
    </row>
    <row r="94" spans="1:13" ht="18" customHeight="1" x14ac:dyDescent="0.2">
      <c r="A94" s="29"/>
      <c r="B94" s="29"/>
      <c r="C94" s="36" t="s">
        <v>47</v>
      </c>
      <c r="D94" s="37"/>
      <c r="E94" s="37"/>
      <c r="F94" s="37"/>
      <c r="G94" s="37"/>
      <c r="H94" s="29"/>
      <c r="I94" s="29"/>
      <c r="J94" s="29" t="s">
        <v>86</v>
      </c>
      <c r="K94" s="29" t="s">
        <v>87</v>
      </c>
      <c r="L94" s="30">
        <f>SUM(F38,F93)*6</f>
        <v>0</v>
      </c>
      <c r="M94" s="30"/>
    </row>
    <row r="95" spans="1:13" ht="18" customHeight="1" x14ac:dyDescent="0.2">
      <c r="A95" s="27"/>
      <c r="B95" s="27"/>
      <c r="C95" s="38" t="s">
        <v>48</v>
      </c>
      <c r="D95" s="35"/>
      <c r="E95" s="27">
        <f>SUM(E83:E92)</f>
        <v>3.508</v>
      </c>
      <c r="F95" s="28" t="e">
        <f>SUM(F83:F92)</f>
        <v>#VALUE!</v>
      </c>
      <c r="G95" s="28" t="e">
        <f>SUM(G83:G92)</f>
        <v>#VALUE!</v>
      </c>
      <c r="H95" s="27"/>
      <c r="I95" s="27"/>
      <c r="J95" s="27" t="s">
        <v>88</v>
      </c>
      <c r="K95" s="27" t="s">
        <v>89</v>
      </c>
      <c r="L95" s="28" t="e">
        <f>SUM(F32,F81,F40,F95,F96)*15</f>
        <v>#VALUE!</v>
      </c>
      <c r="M95" s="28"/>
    </row>
    <row r="96" spans="1:13" ht="18" customHeight="1" x14ac:dyDescent="0.2">
      <c r="A96" s="29"/>
      <c r="B96" s="29"/>
      <c r="C96" s="37" t="s">
        <v>49</v>
      </c>
      <c r="D96" s="37"/>
      <c r="E96" s="29"/>
      <c r="F96" s="29"/>
      <c r="G96" s="29"/>
      <c r="H96" s="29"/>
      <c r="I96" s="29"/>
      <c r="J96" s="29" t="s">
        <v>90</v>
      </c>
      <c r="K96" s="29" t="s">
        <v>91</v>
      </c>
      <c r="L96" s="30">
        <f>F41*270</f>
        <v>0</v>
      </c>
      <c r="M96" s="30"/>
    </row>
    <row r="97" spans="1:13" ht="18" customHeight="1" x14ac:dyDescent="0.2">
      <c r="A97" s="27"/>
      <c r="B97" s="27"/>
      <c r="C97" s="38" t="s">
        <v>50</v>
      </c>
      <c r="D97" s="35"/>
      <c r="E97" s="27">
        <v>2</v>
      </c>
      <c r="F97" s="28">
        <f>(G50*E95)/100</f>
        <v>0</v>
      </c>
      <c r="G97" s="28" t="e">
        <f>F95/1.8</f>
        <v>#VALUE!</v>
      </c>
      <c r="H97" s="27"/>
      <c r="I97" s="27"/>
      <c r="J97" s="27"/>
      <c r="K97" s="27" t="s">
        <v>92</v>
      </c>
      <c r="L97" s="28">
        <f>SUM(L92:L94)</f>
        <v>0</v>
      </c>
      <c r="M97" s="27"/>
    </row>
    <row r="98" spans="1:13" ht="18" customHeight="1" x14ac:dyDescent="0.2">
      <c r="A98" s="29"/>
      <c r="B98" s="29"/>
      <c r="C98" s="30" t="s">
        <v>51</v>
      </c>
      <c r="D98" s="29"/>
      <c r="E98" s="29">
        <v>0.3</v>
      </c>
      <c r="F98" s="30" t="e">
        <f>(G53*E96)/100</f>
        <v>#VALUE!</v>
      </c>
      <c r="G98" s="30">
        <f>F96/1.8</f>
        <v>0</v>
      </c>
      <c r="H98" s="29"/>
      <c r="I98" s="29"/>
      <c r="J98" s="29"/>
      <c r="K98" s="29"/>
      <c r="L98" s="29"/>
      <c r="M98" s="29"/>
    </row>
    <row r="99" spans="1:13" ht="18" customHeight="1" x14ac:dyDescent="0.2">
      <c r="A99" s="27"/>
      <c r="B99" s="27"/>
      <c r="C99" s="28" t="s">
        <v>52</v>
      </c>
      <c r="D99" s="27"/>
      <c r="E99" s="27">
        <f>SUM(E95:E96)</f>
        <v>3.508</v>
      </c>
      <c r="F99" s="28" t="e">
        <f>SUM(F95:F96)</f>
        <v>#VALUE!</v>
      </c>
      <c r="G99" s="28" t="e">
        <f>SUM(G95:G96)</f>
        <v>#VALUE!</v>
      </c>
      <c r="H99" s="27"/>
      <c r="I99" s="27"/>
      <c r="J99" s="27"/>
      <c r="K99" s="27"/>
      <c r="L99" s="27"/>
      <c r="M99" s="27"/>
    </row>
    <row r="100" spans="1:13" ht="6" customHeight="1" x14ac:dyDescent="0.35">
      <c r="A100" s="12"/>
      <c r="B100" s="51"/>
      <c r="C100" s="13"/>
      <c r="D100" s="13"/>
      <c r="E100" s="12"/>
      <c r="F100" s="12"/>
      <c r="G100" s="13"/>
      <c r="H100" s="12"/>
      <c r="I100" s="12"/>
      <c r="J100" s="12"/>
      <c r="K100" s="12"/>
      <c r="L100" s="12"/>
      <c r="M100" s="14"/>
    </row>
    <row r="101" spans="1:13" ht="6" customHeight="1" x14ac:dyDescent="0.35">
      <c r="A101" s="12"/>
      <c r="B101" s="51"/>
      <c r="C101" s="13"/>
      <c r="D101" s="13"/>
      <c r="E101" s="12"/>
      <c r="F101" s="12"/>
      <c r="G101" s="13"/>
      <c r="H101" s="12"/>
      <c r="I101" s="12"/>
      <c r="J101" s="12"/>
      <c r="K101" s="12"/>
      <c r="L101" s="12"/>
      <c r="M101" s="14"/>
    </row>
  </sheetData>
  <mergeCells count="79">
    <mergeCell ref="C96:D96"/>
    <mergeCell ref="C78:D78"/>
    <mergeCell ref="C87:D87"/>
    <mergeCell ref="C23:D23"/>
    <mergeCell ref="C32:D32"/>
    <mergeCell ref="C38:D38"/>
    <mergeCell ref="C49:D49"/>
    <mergeCell ref="B2:G2"/>
    <mergeCell ref="C42:D42"/>
    <mergeCell ref="C26:D26"/>
    <mergeCell ref="C35:D35"/>
    <mergeCell ref="C25:D25"/>
    <mergeCell ref="C9:D9"/>
    <mergeCell ref="C11:D11"/>
    <mergeCell ref="C17:G17"/>
    <mergeCell ref="C37:D37"/>
    <mergeCell ref="C31:D31"/>
    <mergeCell ref="C80:D80"/>
    <mergeCell ref="C51:D51"/>
    <mergeCell ref="C95:D95"/>
    <mergeCell ref="C61:D61"/>
    <mergeCell ref="C70:D70"/>
    <mergeCell ref="C62:G62"/>
    <mergeCell ref="C74:D74"/>
    <mergeCell ref="C88:D88"/>
    <mergeCell ref="C55:D55"/>
    <mergeCell ref="C52:D52"/>
    <mergeCell ref="C82:G82"/>
    <mergeCell ref="C72:D72"/>
    <mergeCell ref="C81:D81"/>
    <mergeCell ref="C97:D97"/>
    <mergeCell ref="C94:G94"/>
    <mergeCell ref="C40:D40"/>
    <mergeCell ref="C22:G22"/>
    <mergeCell ref="G49:H49"/>
    <mergeCell ref="C90:D90"/>
    <mergeCell ref="C71:D71"/>
    <mergeCell ref="C39:G39"/>
    <mergeCell ref="C91:D91"/>
    <mergeCell ref="C57:D57"/>
    <mergeCell ref="C66:D66"/>
    <mergeCell ref="C53:D53"/>
    <mergeCell ref="C77:D77"/>
    <mergeCell ref="C34:D34"/>
    <mergeCell ref="C86:D86"/>
    <mergeCell ref="C68:D68"/>
    <mergeCell ref="C27:D27"/>
    <mergeCell ref="E49:F49"/>
    <mergeCell ref="C76:D76"/>
    <mergeCell ref="C36:D36"/>
    <mergeCell ref="C7:G7"/>
    <mergeCell ref="C67:D67"/>
    <mergeCell ref="C19:D19"/>
    <mergeCell ref="C28:D28"/>
    <mergeCell ref="C69:D69"/>
    <mergeCell ref="C30:D30"/>
    <mergeCell ref="C8:D8"/>
    <mergeCell ref="C18:D18"/>
    <mergeCell ref="C24:G24"/>
    <mergeCell ref="C33:G33"/>
    <mergeCell ref="C29:D29"/>
    <mergeCell ref="C65:D65"/>
    <mergeCell ref="C41:D41"/>
    <mergeCell ref="C93:D93"/>
    <mergeCell ref="C50:D50"/>
    <mergeCell ref="C48:H48"/>
    <mergeCell ref="C56:D56"/>
    <mergeCell ref="C60:G60"/>
    <mergeCell ref="C83:D83"/>
    <mergeCell ref="C92:D92"/>
    <mergeCell ref="C85:D85"/>
    <mergeCell ref="C75:D75"/>
    <mergeCell ref="C84:D84"/>
    <mergeCell ref="C89:D89"/>
    <mergeCell ref="C64:D64"/>
    <mergeCell ref="C79:D79"/>
    <mergeCell ref="C73:D73"/>
    <mergeCell ref="C54:D54"/>
    <mergeCell ref="C63:D6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showGridLines="0" zoomScale="85" zoomScaleNormal="85" workbookViewId="0">
      <pane ySplit="3" topLeftCell="A4" activePane="bottomLeft" state="frozen"/>
      <selection pane="bottomLeft" activeCell="B2" sqref="B2"/>
    </sheetView>
  </sheetViews>
  <sheetFormatPr baseColWidth="10" defaultColWidth="10.7109375" defaultRowHeight="15" customHeight="1" x14ac:dyDescent="0.25"/>
  <cols>
    <col min="1" max="1" width="14" customWidth="1"/>
    <col min="2" max="2" width="8" style="5" customWidth="1"/>
    <col min="3" max="3" width="20" style="4" customWidth="1"/>
    <col min="4" max="4" width="15" style="6" customWidth="1"/>
    <col min="5" max="5" width="15" customWidth="1"/>
    <col min="6" max="6" width="15" style="4" customWidth="1"/>
    <col min="7" max="7" width="28" customWidth="1"/>
  </cols>
  <sheetData>
    <row r="1" spans="1:7" ht="24" customHeight="1" x14ac:dyDescent="0.25">
      <c r="A1" s="8"/>
      <c r="B1" s="8"/>
      <c r="C1" s="8"/>
      <c r="D1" s="8"/>
      <c r="E1" s="8"/>
      <c r="F1" s="8"/>
      <c r="G1" s="8"/>
    </row>
    <row r="2" spans="1:7" ht="15.95" customHeight="1" x14ac:dyDescent="0.25">
      <c r="A2" s="9"/>
      <c r="B2" s="11"/>
      <c r="C2" s="11"/>
      <c r="D2" s="11"/>
      <c r="E2" s="11"/>
      <c r="F2" s="11"/>
      <c r="G2" s="11"/>
    </row>
    <row r="3" spans="1:7" ht="21.95" customHeight="1" x14ac:dyDescent="0.25">
      <c r="A3" s="20"/>
      <c r="B3" s="52" t="s">
        <v>93</v>
      </c>
      <c r="C3" s="52" t="s">
        <v>94</v>
      </c>
      <c r="D3" s="52" t="s">
        <v>95</v>
      </c>
      <c r="E3" s="52" t="s">
        <v>96</v>
      </c>
      <c r="F3" s="20" t="s">
        <v>97</v>
      </c>
      <c r="G3" s="20" t="s">
        <v>98</v>
      </c>
    </row>
    <row r="4" spans="1:7" ht="18" customHeight="1" x14ac:dyDescent="0.25">
      <c r="A4" s="29"/>
      <c r="B4" s="37"/>
      <c r="C4" s="37"/>
      <c r="D4" s="37"/>
      <c r="E4" s="37"/>
      <c r="F4" s="29" t="s">
        <v>99</v>
      </c>
      <c r="G4" s="29" t="s">
        <v>100</v>
      </c>
    </row>
    <row r="5" spans="1:7" ht="15.95" customHeight="1" x14ac:dyDescent="0.25">
      <c r="A5" s="15"/>
      <c r="B5" s="16" t="s">
        <v>101</v>
      </c>
      <c r="C5" s="16"/>
      <c r="D5" s="16"/>
      <c r="E5" s="16"/>
      <c r="F5" s="16"/>
      <c r="G5" s="16"/>
    </row>
    <row r="6" spans="1:7" s="7" customFormat="1" ht="15.95" customHeight="1" x14ac:dyDescent="0.25">
      <c r="A6" s="15"/>
      <c r="B6" s="16" t="s">
        <v>102</v>
      </c>
      <c r="C6" s="16"/>
      <c r="D6" s="16"/>
      <c r="E6" s="16"/>
      <c r="F6" s="16"/>
      <c r="G6" s="16"/>
    </row>
    <row r="7" spans="1:7" ht="18" customHeight="1" x14ac:dyDescent="0.25">
      <c r="A7" s="27"/>
      <c r="B7" s="27" t="s">
        <v>103</v>
      </c>
      <c r="C7" s="27" t="s">
        <v>104</v>
      </c>
      <c r="D7" s="27" t="s">
        <v>105</v>
      </c>
      <c r="E7" s="27" t="s">
        <v>106</v>
      </c>
      <c r="F7" s="28">
        <f>'CTRA. GUADALMAR'!G11</f>
        <v>0</v>
      </c>
      <c r="G7" s="28">
        <f>F7/(1.5*1.15)</f>
        <v>0</v>
      </c>
    </row>
    <row r="8" spans="1:7" ht="15.95" customHeight="1" x14ac:dyDescent="0.25">
      <c r="A8" s="15"/>
      <c r="B8" s="16" t="s">
        <v>107</v>
      </c>
      <c r="C8" s="16"/>
      <c r="D8" s="16"/>
      <c r="E8" s="16"/>
      <c r="F8" s="16"/>
      <c r="G8" s="16"/>
    </row>
    <row r="9" spans="1:7" s="7" customFormat="1" ht="15.95" customHeight="1" x14ac:dyDescent="0.25">
      <c r="A9" s="15"/>
      <c r="B9" s="16" t="s">
        <v>108</v>
      </c>
      <c r="C9" s="16"/>
      <c r="D9" s="16"/>
      <c r="E9" s="16"/>
      <c r="F9" s="16"/>
      <c r="G9" s="16"/>
    </row>
    <row r="10" spans="1:7" s="7" customFormat="1" ht="15.95" customHeight="1" x14ac:dyDescent="0.25">
      <c r="A10" s="15"/>
      <c r="B10" s="16" t="s">
        <v>109</v>
      </c>
      <c r="C10" s="16"/>
      <c r="D10" s="16"/>
      <c r="E10" s="16"/>
      <c r="F10" s="16"/>
      <c r="G10" s="15"/>
    </row>
    <row r="11" spans="1:7" ht="18" customHeight="1" x14ac:dyDescent="0.25">
      <c r="A11" s="29"/>
      <c r="B11" s="29" t="s">
        <v>110</v>
      </c>
      <c r="C11" s="29" t="s">
        <v>111</v>
      </c>
      <c r="D11" s="29" t="s">
        <v>112</v>
      </c>
      <c r="E11" s="29" t="s">
        <v>113</v>
      </c>
      <c r="F11" s="30" t="e">
        <f>'CTRA. GUADALMAR'!F25+'CTRA. GUADALMAR'!F64</f>
        <v>#VALUE!</v>
      </c>
      <c r="G11" s="30" t="e">
        <f>'CTRA. GUADALMAR'!G25+'CTRA. GUADALMAR'!G64</f>
        <v>#VALUE!</v>
      </c>
    </row>
    <row r="12" spans="1:7" s="7" customFormat="1" ht="15.95" customHeight="1" x14ac:dyDescent="0.25">
      <c r="A12" s="15"/>
      <c r="B12" s="16" t="s">
        <v>114</v>
      </c>
      <c r="C12" s="16"/>
      <c r="D12" s="16"/>
      <c r="E12" s="16"/>
      <c r="F12" s="16"/>
      <c r="G12" s="15"/>
    </row>
    <row r="13" spans="1:7" ht="18" customHeight="1" x14ac:dyDescent="0.25">
      <c r="A13" s="27"/>
      <c r="B13" s="27" t="s">
        <v>115</v>
      </c>
      <c r="C13" s="27" t="s">
        <v>116</v>
      </c>
      <c r="D13" s="27" t="s">
        <v>112</v>
      </c>
      <c r="E13" s="27" t="s">
        <v>117</v>
      </c>
      <c r="F13" s="28">
        <f>'CTRA. GUADALMAR'!F66+'CTRA. GUADALMAR'!F67+'CTRA. GUADALMAR'!F26</f>
        <v>0</v>
      </c>
      <c r="G13" s="28">
        <f>'CTRA. GUADALMAR'!G26+'CTRA. GUADALMAR'!G66+'CTRA. GUADALMAR'!G67</f>
        <v>0</v>
      </c>
    </row>
    <row r="14" spans="1:7" s="7" customFormat="1" ht="15.95" customHeight="1" x14ac:dyDescent="0.25">
      <c r="A14" s="15"/>
      <c r="B14" s="16" t="s">
        <v>118</v>
      </c>
      <c r="C14" s="16"/>
      <c r="D14" s="16"/>
      <c r="E14" s="16"/>
      <c r="F14" s="16"/>
      <c r="G14" s="15"/>
    </row>
    <row r="15" spans="1:7" ht="18" customHeight="1" x14ac:dyDescent="0.25">
      <c r="A15" s="29"/>
      <c r="B15" s="29" t="s">
        <v>119</v>
      </c>
      <c r="C15" s="29" t="s">
        <v>120</v>
      </c>
      <c r="D15" s="29" t="s">
        <v>112</v>
      </c>
      <c r="E15" s="29" t="s">
        <v>117</v>
      </c>
      <c r="F15" s="30" t="e">
        <f>'CTRA. GUADALMAR'!F27+'CTRA. GUADALMAR'!F69+'CTRA. GUADALMAR'!F70+'CTRA. GUADALMAR'!F71</f>
        <v>#VALUE!</v>
      </c>
      <c r="G15" s="30" t="e">
        <f>'CTRA. GUADALMAR'!G27+'CTRA. GUADALMAR'!G69+'CTRA. GUADALMAR'!G70+'CTRA. GUADALMAR'!G71</f>
        <v>#VALUE!</v>
      </c>
    </row>
    <row r="16" spans="1:7" s="7" customFormat="1" ht="15.95" customHeight="1" x14ac:dyDescent="0.25">
      <c r="A16" s="15"/>
      <c r="B16" s="16" t="s">
        <v>121</v>
      </c>
      <c r="C16" s="16"/>
      <c r="D16" s="16"/>
      <c r="E16" s="16"/>
      <c r="F16" s="16"/>
      <c r="G16" s="15"/>
    </row>
    <row r="17" spans="1:7" ht="18" customHeight="1" x14ac:dyDescent="0.25">
      <c r="A17" s="27"/>
      <c r="B17" s="27" t="s">
        <v>122</v>
      </c>
      <c r="C17" s="27" t="s">
        <v>123</v>
      </c>
      <c r="D17" s="27" t="s">
        <v>112</v>
      </c>
      <c r="E17" s="27" t="s">
        <v>117</v>
      </c>
      <c r="F17" s="28">
        <f>'CTRA. GUADALMAR'!F28</f>
        <v>0</v>
      </c>
      <c r="G17" s="28">
        <f>'CTRA. GUADALMAR'!G28+'CTRA. GUADALMAR'!G73</f>
        <v>0.13799999999999998</v>
      </c>
    </row>
    <row r="18" spans="1:7" s="7" customFormat="1" ht="15.95" customHeight="1" x14ac:dyDescent="0.25">
      <c r="A18" s="15"/>
      <c r="B18" s="16" t="s">
        <v>124</v>
      </c>
      <c r="C18" s="16"/>
      <c r="D18" s="16"/>
      <c r="E18" s="16"/>
      <c r="F18" s="16"/>
      <c r="G18" s="15"/>
    </row>
    <row r="19" spans="1:7" ht="18" customHeight="1" x14ac:dyDescent="0.25">
      <c r="A19" s="29"/>
      <c r="B19" s="29" t="s">
        <v>125</v>
      </c>
      <c r="C19" s="29" t="s">
        <v>126</v>
      </c>
      <c r="D19" s="29" t="s">
        <v>112</v>
      </c>
      <c r="E19" s="29" t="s">
        <v>117</v>
      </c>
      <c r="F19" s="30" t="e">
        <f>'CTRA. GUADALMAR'!F29+'CTRA. GUADALMAR'!F75+'CTRA. GUADALMAR'!F76+'CTRA. GUADALMAR'!F77</f>
        <v>#VALUE!</v>
      </c>
      <c r="G19" s="30" t="e">
        <f>'CTRA. GUADALMAR'!G29+'CTRA. GUADALMAR'!G75+'CTRA. GUADALMAR'!G76+'CTRA. GUADALMAR'!G77</f>
        <v>#VALUE!</v>
      </c>
    </row>
    <row r="20" spans="1:7" s="7" customFormat="1" ht="15.95" customHeight="1" x14ac:dyDescent="0.25">
      <c r="A20" s="15"/>
      <c r="B20" s="16" t="s">
        <v>127</v>
      </c>
      <c r="C20" s="16"/>
      <c r="D20" s="16"/>
      <c r="E20" s="16"/>
      <c r="F20" s="16"/>
      <c r="G20" s="15"/>
    </row>
    <row r="21" spans="1:7" ht="18" customHeight="1" x14ac:dyDescent="0.25">
      <c r="A21" s="27"/>
      <c r="B21" s="27" t="s">
        <v>128</v>
      </c>
      <c r="C21" s="27" t="s">
        <v>129</v>
      </c>
      <c r="D21" s="27" t="s">
        <v>112</v>
      </c>
      <c r="E21" s="27" t="s">
        <v>117</v>
      </c>
      <c r="F21" s="28" t="e">
        <f>'CTRA. GUADALMAR'!F30+'CTRA. GUADALMAR'!F78</f>
        <v>#VALUE!</v>
      </c>
      <c r="G21" s="28">
        <f>'CTRA. GUADALMAR'!G30+'CTRA. GUADALMAR'!G78</f>
        <v>0</v>
      </c>
    </row>
    <row r="22" spans="1:7" s="7" customFormat="1" ht="15.95" customHeight="1" x14ac:dyDescent="0.25">
      <c r="A22" s="15"/>
      <c r="B22" s="16" t="s">
        <v>130</v>
      </c>
      <c r="C22" s="16"/>
      <c r="D22" s="16"/>
      <c r="E22" s="16"/>
      <c r="F22" s="16"/>
      <c r="G22" s="15"/>
    </row>
    <row r="23" spans="1:7" ht="18" customHeight="1" x14ac:dyDescent="0.25">
      <c r="A23" s="29"/>
      <c r="B23" s="29" t="s">
        <v>131</v>
      </c>
      <c r="C23" s="29" t="s">
        <v>132</v>
      </c>
      <c r="D23" s="29" t="s">
        <v>133</v>
      </c>
      <c r="E23" s="29" t="s">
        <v>117</v>
      </c>
      <c r="F23" s="30" t="e">
        <f>'CTRA. GUADALMAR'!F31+'CTRA. GUADALMAR'!F78</f>
        <v>#VALUE!</v>
      </c>
      <c r="G23" s="30" t="e">
        <f>'CTRA. GUADALMAR'!G31+'CTRA. GUADALMAR'!G80</f>
        <v>#VALUE!</v>
      </c>
    </row>
    <row r="24" spans="1:7" s="7" customFormat="1" ht="15.95" customHeight="1" x14ac:dyDescent="0.25">
      <c r="A24" s="15"/>
      <c r="B24" s="16" t="s">
        <v>134</v>
      </c>
      <c r="C24" s="16"/>
      <c r="D24" s="16"/>
      <c r="E24" s="16"/>
      <c r="F24" s="16"/>
      <c r="G24" s="15"/>
    </row>
    <row r="25" spans="1:7" ht="18" customHeight="1" x14ac:dyDescent="0.25">
      <c r="A25" s="27"/>
      <c r="B25" s="27" t="s">
        <v>135</v>
      </c>
      <c r="C25" s="27" t="s">
        <v>136</v>
      </c>
      <c r="D25" s="27" t="s">
        <v>112</v>
      </c>
      <c r="E25" s="27" t="s">
        <v>117</v>
      </c>
      <c r="F25" s="28" t="e">
        <f>'CTRA. GUADALMAR'!F40+'CTRA. GUADALMAR'!F95</f>
        <v>#VALUE!</v>
      </c>
      <c r="G25" s="28" t="e">
        <f>'CTRA. GUADALMAR'!G40+'CTRA. GUADALMAR'!G95</f>
        <v>#VALUE!</v>
      </c>
    </row>
    <row r="26" spans="1:7" ht="18" customHeight="1" x14ac:dyDescent="0.25">
      <c r="A26" s="29"/>
      <c r="B26" s="29" t="s">
        <v>137</v>
      </c>
      <c r="C26" s="29" t="s">
        <v>138</v>
      </c>
      <c r="D26" s="29" t="s">
        <v>133</v>
      </c>
      <c r="E26" s="29" t="s">
        <v>117</v>
      </c>
      <c r="F26" s="30">
        <f>'CTRA. GUADALMAR'!F96</f>
        <v>0</v>
      </c>
      <c r="G26" s="30">
        <f>'CTRA. GUADALMAR'!G96</f>
        <v>0</v>
      </c>
    </row>
    <row r="27" spans="1:7" ht="18" customHeight="1" x14ac:dyDescent="0.25">
      <c r="A27" s="27"/>
      <c r="B27" s="27" t="s">
        <v>139</v>
      </c>
      <c r="C27" s="27" t="s">
        <v>140</v>
      </c>
      <c r="D27" s="27" t="s">
        <v>141</v>
      </c>
      <c r="E27" s="27" t="s">
        <v>142</v>
      </c>
      <c r="F27" s="27">
        <v>1.8</v>
      </c>
      <c r="G27" s="27">
        <v>1</v>
      </c>
    </row>
    <row r="28" spans="1:7" ht="18" customHeight="1" x14ac:dyDescent="0.25">
      <c r="A28" s="29"/>
      <c r="B28" s="29" t="s">
        <v>143</v>
      </c>
      <c r="C28" s="29" t="s">
        <v>144</v>
      </c>
      <c r="D28" s="29" t="s">
        <v>141</v>
      </c>
      <c r="E28" s="29" t="s">
        <v>142</v>
      </c>
      <c r="F28" s="29">
        <v>0.2</v>
      </c>
      <c r="G28" s="29">
        <v>0.1</v>
      </c>
    </row>
    <row r="29" spans="1:7" s="7" customFormat="1" ht="15.95" customHeight="1" x14ac:dyDescent="0.25">
      <c r="A29" s="15"/>
      <c r="B29" s="16" t="s">
        <v>145</v>
      </c>
      <c r="C29" s="16"/>
      <c r="D29" s="16"/>
      <c r="E29" s="16"/>
      <c r="F29" s="16"/>
      <c r="G29" s="16"/>
    </row>
    <row r="30" spans="1:7" s="7" customFormat="1" ht="15.95" customHeight="1" x14ac:dyDescent="0.25">
      <c r="A30" s="15"/>
      <c r="B30" s="16" t="s">
        <v>146</v>
      </c>
      <c r="C30" s="16"/>
      <c r="D30" s="16"/>
      <c r="E30" s="16"/>
      <c r="F30" s="16"/>
      <c r="G30" s="15"/>
    </row>
    <row r="31" spans="1:7" ht="18" customHeight="1" x14ac:dyDescent="0.25">
      <c r="A31" s="27"/>
      <c r="B31" s="27" t="s">
        <v>147</v>
      </c>
      <c r="C31" s="27" t="s">
        <v>148</v>
      </c>
      <c r="D31" s="27" t="s">
        <v>112</v>
      </c>
      <c r="E31" s="27" t="s">
        <v>113</v>
      </c>
      <c r="F31" s="28" t="e">
        <f>'CTRA. GUADALMAR'!F34+'CTRA. GUADALMAR'!F84</f>
        <v>#VALUE!</v>
      </c>
      <c r="G31" s="28" t="e">
        <f>'CTRA. GUADALMAR'!G34+'CTRA. GUADALMAR'!G84</f>
        <v>#VALUE!</v>
      </c>
    </row>
    <row r="32" spans="1:7" ht="18" customHeight="1" x14ac:dyDescent="0.25">
      <c r="A32" s="29"/>
      <c r="B32" s="29" t="s">
        <v>149</v>
      </c>
      <c r="C32" s="29" t="s">
        <v>150</v>
      </c>
      <c r="D32" s="29" t="s">
        <v>112</v>
      </c>
      <c r="E32" s="29" t="s">
        <v>113</v>
      </c>
      <c r="F32" s="29">
        <v>0</v>
      </c>
      <c r="G32" s="29">
        <v>0</v>
      </c>
    </row>
    <row r="33" spans="1:7" s="7" customFormat="1" ht="15.95" customHeight="1" x14ac:dyDescent="0.25">
      <c r="A33" s="15"/>
      <c r="B33" s="16" t="s">
        <v>151</v>
      </c>
      <c r="C33" s="16"/>
      <c r="D33" s="16"/>
      <c r="E33" s="16"/>
      <c r="F33" s="16"/>
      <c r="G33" s="15"/>
    </row>
    <row r="34" spans="1:7" ht="18" customHeight="1" x14ac:dyDescent="0.25">
      <c r="A34" s="27"/>
      <c r="B34" s="27" t="s">
        <v>152</v>
      </c>
      <c r="C34" s="27" t="s">
        <v>153</v>
      </c>
      <c r="D34" s="27" t="s">
        <v>141</v>
      </c>
      <c r="E34" s="27" t="s">
        <v>113</v>
      </c>
      <c r="F34" s="28" t="e">
        <f>'CTRA. GUADALMAR'!F35+'CTRA. GUADALMAR'!F86+'CTRA. GUADALMAR'!F87+'CTRA. GUADALMAR'!F88</f>
        <v>#VALUE!</v>
      </c>
      <c r="G34" s="28" t="e">
        <f>'CTRA. GUADALMAR'!G35+'CTRA. GUADALMAR'!G86+'CTRA. GUADALMAR'!G87+'CTRA. GUADALMAR'!G88+'CTRA. GUADALMAR'!G89</f>
        <v>#VALUE!</v>
      </c>
    </row>
    <row r="35" spans="1:7" s="7" customFormat="1" ht="15.95" customHeight="1" x14ac:dyDescent="0.25">
      <c r="A35" s="15"/>
      <c r="B35" s="16" t="s">
        <v>154</v>
      </c>
      <c r="C35" s="16"/>
      <c r="D35" s="16"/>
      <c r="E35" s="16"/>
      <c r="F35" s="16"/>
      <c r="G35" s="15"/>
    </row>
    <row r="36" spans="1:7" ht="18" customHeight="1" x14ac:dyDescent="0.25">
      <c r="A36" s="29"/>
      <c r="B36" s="29" t="s">
        <v>155</v>
      </c>
      <c r="C36" s="29" t="s">
        <v>156</v>
      </c>
      <c r="D36" s="29" t="s">
        <v>141</v>
      </c>
      <c r="E36" s="29" t="s">
        <v>113</v>
      </c>
      <c r="F36" s="30">
        <f>'CTRA. GUADALMAR'!F36+'CTRA. GUADALMAR'!F91</f>
        <v>7.7050000000000001</v>
      </c>
      <c r="G36" s="30" t="e">
        <f>'CTRA. GUADALMAR'!G36+'CTRA. GUADALMAR'!G91</f>
        <v>#VALUE!</v>
      </c>
    </row>
    <row r="37" spans="1:7" s="7" customFormat="1" ht="15.95" customHeight="1" x14ac:dyDescent="0.25">
      <c r="A37" s="15"/>
      <c r="B37" s="16" t="s">
        <v>157</v>
      </c>
      <c r="C37" s="16"/>
      <c r="D37" s="16"/>
      <c r="E37" s="16"/>
      <c r="F37" s="16"/>
      <c r="G37" s="15"/>
    </row>
    <row r="38" spans="1:7" ht="18" customHeight="1" x14ac:dyDescent="0.25">
      <c r="A38" s="27"/>
      <c r="B38" s="27" t="s">
        <v>158</v>
      </c>
      <c r="C38" s="27" t="s">
        <v>104</v>
      </c>
      <c r="D38" s="27" t="s">
        <v>141</v>
      </c>
      <c r="E38" s="27" t="s">
        <v>113</v>
      </c>
      <c r="F38" s="28">
        <f>'CTRA. GUADALMAR'!F37+'CTRA. GUADALMAR'!F92</f>
        <v>0</v>
      </c>
      <c r="G38" s="28">
        <f>'CTRA. GUADALMAR'!G37+'CTRA. GUADALMAR'!G92</f>
        <v>0</v>
      </c>
    </row>
    <row r="39" spans="1:7" ht="6" customHeight="1" x14ac:dyDescent="0.35">
      <c r="A39" s="14"/>
      <c r="B39" s="53"/>
      <c r="C39" s="40"/>
      <c r="D39" s="54"/>
      <c r="E39" s="54"/>
      <c r="F39" s="40"/>
      <c r="G39" s="40"/>
    </row>
    <row r="40" spans="1:7" ht="6" customHeight="1" x14ac:dyDescent="0.35">
      <c r="A40" s="14"/>
      <c r="B40" s="53"/>
      <c r="C40" s="40"/>
      <c r="D40" s="54"/>
      <c r="E40" s="54"/>
      <c r="F40" s="40"/>
      <c r="G40" s="40"/>
    </row>
    <row r="41" spans="1:7" ht="6" customHeight="1" x14ac:dyDescent="0.35">
      <c r="A41" s="14"/>
      <c r="B41" s="53"/>
      <c r="C41" s="40"/>
      <c r="D41" s="54"/>
      <c r="E41" s="54"/>
      <c r="F41" s="40"/>
      <c r="G41" s="40"/>
    </row>
    <row r="42" spans="1:7" ht="6" customHeight="1" x14ac:dyDescent="0.35">
      <c r="A42" s="14"/>
      <c r="B42" s="53"/>
      <c r="C42" s="40"/>
      <c r="D42" s="54"/>
      <c r="E42" s="54"/>
      <c r="F42" s="40"/>
      <c r="G42" s="40"/>
    </row>
  </sheetData>
  <mergeCells count="21">
    <mergeCell ref="B37:F37"/>
    <mergeCell ref="B30:F30"/>
    <mergeCell ref="B24:F24"/>
    <mergeCell ref="B20:F20"/>
    <mergeCell ref="C3:C4"/>
    <mergeCell ref="B33:F33"/>
    <mergeCell ref="E3:E4"/>
    <mergeCell ref="B35:F35"/>
    <mergeCell ref="B29:G29"/>
    <mergeCell ref="B12:F12"/>
    <mergeCell ref="B9:G9"/>
    <mergeCell ref="D3:D4"/>
    <mergeCell ref="B14:F14"/>
    <mergeCell ref="B6:G6"/>
    <mergeCell ref="B5:G5"/>
    <mergeCell ref="B10:F10"/>
    <mergeCell ref="B16:F16"/>
    <mergeCell ref="B3:B4"/>
    <mergeCell ref="B8:G8"/>
    <mergeCell ref="B22:F22"/>
    <mergeCell ref="B18:F18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CTRA. GUADALMAR</vt:lpstr>
      <vt:lpstr>TABLA LER-DESTINOS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BONILLA</dc:creator>
  <cp:lastModifiedBy>GARPUL</cp:lastModifiedBy>
  <cp:revision>0</cp:revision>
  <dcterms:created xsi:type="dcterms:W3CDTF">2019-10-01T10:42:15Z</dcterms:created>
  <dcterms:modified xsi:type="dcterms:W3CDTF">2026-04-15T18:28:28Z</dcterms:modified>
  <dc:language>en-US</dc:language>
</cp:coreProperties>
</file>