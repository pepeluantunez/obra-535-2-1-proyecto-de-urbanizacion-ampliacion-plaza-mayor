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Claude\Projects\535.2.1 - Proyecto de Urbanizacion - Ampliacion Plaza Mayor\DOCS - PLANTILLAS\Excel\Bases Guadalmar\15 - Plan de Obra\"/>
    </mc:Choice>
  </mc:AlternateContent>
  <xr:revisionPtr revIDLastSave="0" documentId="13_ncr:1_{B5C6E48F-397F-4202-9C51-8D1DA6F40840}" xr6:coauthVersionLast="47" xr6:coauthVersionMax="47" xr10:uidLastSave="{00000000-0000-0000-0000-000000000000}"/>
  <bookViews>
    <workbookView xWindow="-28920" yWindow="-120" windowWidth="29040" windowHeight="15720" tabRatio="500" activeTab="2" xr2:uid="{00000000-000D-0000-FFFF-FFFF00000000}"/>
  </bookViews>
  <sheets>
    <sheet name="PARÁMETROS" sheetId="1" r:id="rId1"/>
    <sheet name="PLAN DE OBRA" sheetId="2" r:id="rId2"/>
    <sheet name="GANTT" sheetId="3" r:id="rId3"/>
    <sheet name="CERTIFICACION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2" l="1"/>
  <c r="E34" i="2"/>
  <c r="D34" i="2"/>
  <c r="F32" i="2"/>
  <c r="F31" i="2"/>
  <c r="F29" i="2"/>
  <c r="F28" i="2"/>
  <c r="F27" i="2"/>
  <c r="F26" i="2"/>
  <c r="F25" i="2"/>
  <c r="F23" i="2"/>
  <c r="F21" i="2"/>
  <c r="F19" i="2"/>
  <c r="F18" i="2"/>
  <c r="F17" i="2"/>
  <c r="F15" i="2"/>
  <c r="F13" i="2"/>
  <c r="F12" i="2"/>
  <c r="F10" i="2"/>
  <c r="F9" i="2"/>
  <c r="F8" i="2"/>
  <c r="F7" i="2"/>
  <c r="A2" i="2"/>
  <c r="E33" i="3"/>
  <c r="D33" i="3"/>
  <c r="C33" i="3"/>
  <c r="E32" i="3"/>
  <c r="D32" i="3"/>
  <c r="C32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4" i="3"/>
  <c r="D24" i="3"/>
  <c r="C24" i="3"/>
  <c r="E22" i="3"/>
  <c r="D22" i="3"/>
  <c r="C22" i="3"/>
  <c r="E20" i="3"/>
  <c r="D20" i="3"/>
  <c r="C20" i="3"/>
  <c r="E19" i="3"/>
  <c r="D19" i="3"/>
  <c r="C19" i="3"/>
  <c r="E18" i="3"/>
  <c r="D18" i="3"/>
  <c r="C18" i="3"/>
  <c r="E16" i="3"/>
  <c r="D16" i="3"/>
  <c r="C16" i="3"/>
  <c r="E14" i="3"/>
  <c r="D14" i="3"/>
  <c r="C14" i="3"/>
  <c r="E13" i="3"/>
  <c r="D13" i="3"/>
  <c r="C13" i="3"/>
  <c r="E11" i="3"/>
  <c r="D11" i="3"/>
  <c r="C11" i="3"/>
  <c r="E10" i="3"/>
  <c r="D10" i="3"/>
  <c r="C10" i="3"/>
  <c r="E9" i="3"/>
  <c r="D9" i="3"/>
  <c r="C9" i="3"/>
  <c r="E8" i="3"/>
  <c r="D8" i="3"/>
  <c r="C8" i="3"/>
  <c r="F3" i="3"/>
  <c r="A2" i="3"/>
</calcChain>
</file>

<file path=xl/sharedStrings.xml><?xml version="1.0" encoding="utf-8"?>
<sst xmlns="http://schemas.openxmlformats.org/spreadsheetml/2006/main" count="181" uniqueCount="124">
  <si>
    <t>DIAGRAMA DE GANTT — PLAN DE OBRA</t>
  </si>
  <si>
    <t>Plazo de ejecución activo:</t>
  </si>
  <si>
    <t>meses</t>
  </si>
  <si>
    <t>OBRA CIVIL</t>
  </si>
  <si>
    <t>SANEAMIENTO</t>
  </si>
  <si>
    <t>ABASTECIMIENTO</t>
  </si>
  <si>
    <t>ELECTRICIDAD</t>
  </si>
  <si>
    <t>TELECOMUNICACIONES</t>
  </si>
  <si>
    <t>GAS</t>
  </si>
  <si>
    <t>URBANIZACIÓN</t>
  </si>
  <si>
    <t>CONTROL/GESTIÓN</t>
  </si>
  <si>
    <t>Nº</t>
  </si>
  <si>
    <t>CATEGORÍA</t>
  </si>
  <si>
    <t>ACTIVIDAD</t>
  </si>
  <si>
    <t>INI</t>
  </si>
  <si>
    <t>DUR</t>
  </si>
  <si>
    <t xml:space="preserve">  OBRA CIVIL</t>
  </si>
  <si>
    <t xml:space="preserve">  SANEAMIENTO</t>
  </si>
  <si>
    <t xml:space="preserve">  ABASTECIMIENTO</t>
  </si>
  <si>
    <t xml:space="preserve">  ELECTRICIDAD</t>
  </si>
  <si>
    <t xml:space="preserve">  TELECOMUNICACIONES</t>
  </si>
  <si>
    <t xml:space="preserve">  GAS</t>
  </si>
  <si>
    <t xml:space="preserve">  URBANIZACIÓN</t>
  </si>
  <si>
    <t xml:space="preserve">  CONTROL/GESTIÓN</t>
  </si>
  <si>
    <t>PARÁMETROS DEL PROYECTO</t>
  </si>
  <si>
    <t>535.2.2 – MEJORA CARRETERA GUADALMAR – POU 2026</t>
  </si>
  <si>
    <t>PARÁMETRO</t>
  </si>
  <si>
    <t>VALOR</t>
  </si>
  <si>
    <t>NOTAS</t>
  </si>
  <si>
    <t>Nombre del proyecto</t>
  </si>
  <si>
    <t>MEJORA CARRETERA GUADALMAR, MÁLAGA</t>
  </si>
  <si>
    <t>Nombre completo</t>
  </si>
  <si>
    <t>Número de expediente</t>
  </si>
  <si>
    <t>535.2.2</t>
  </si>
  <si>
    <t>Referencia POU 2026</t>
  </si>
  <si>
    <t>Promotor</t>
  </si>
  <si>
    <t>Ayuntamiento de Málaga</t>
  </si>
  <si>
    <t>Redactor del proyecto</t>
  </si>
  <si>
    <t>JL Antunez Ruiz Rico</t>
  </si>
  <si>
    <t>Plazo total de ejecución (meses)</t>
  </si>
  <si>
    <t>⚠ EDITABLE — controla el Gantt</t>
  </si>
  <si>
    <t>Fecha prevista de inicio</t>
  </si>
  <si>
    <t>A definir tras licitación</t>
  </si>
  <si>
    <t>Mes 1 del cronograma</t>
  </si>
  <si>
    <t>Plazo de garantía (meses)</t>
  </si>
  <si>
    <t>Desde recepción provisional</t>
  </si>
  <si>
    <t>Jornadas no laborables / año</t>
  </si>
  <si>
    <t>Por meteorología adversa (base: lluvia Málaga)</t>
  </si>
  <si>
    <t>LEYENDA DE COLORES</t>
  </si>
  <si>
    <t>Texto en azul</t>
  </si>
  <si>
    <t>Valor editable — input de usuario</t>
  </si>
  <si>
    <t>Texto en negro</t>
  </si>
  <si>
    <t>Fórmula calculada automáticamente</t>
  </si>
  <si>
    <t>Fondo azul claro</t>
  </si>
  <si>
    <t>Resultado / salida del modelo</t>
  </si>
  <si>
    <t>TABLA DE ACTIVIDADES — PLAN DE OBRA</t>
  </si>
  <si>
    <t>⚠  Modifica las columnas INICIO PLAN y DURACIÓN PLAN (azul). El resto se calcula automáticamente.</t>
  </si>
  <si>
    <t>INICIO
PLAN (mes)</t>
  </si>
  <si>
    <t>DURACIÓN
PLAN (meses)</t>
  </si>
  <si>
    <t>FIN
PLAN (mes)</t>
  </si>
  <si>
    <t>% COMPL.
(en ejecución)</t>
  </si>
  <si>
    <t>Demoliciones</t>
  </si>
  <si>
    <t>Movimiento de tierras</t>
  </si>
  <si>
    <t>Muro de contención</t>
  </si>
  <si>
    <t>Firmes y pavimentos</t>
  </si>
  <si>
    <t>Red saneamiento aguas pluviales</t>
  </si>
  <si>
    <t>Red saneamiento aguas fecales</t>
  </si>
  <si>
    <t>Red de agua potable</t>
  </si>
  <si>
    <t>Red de media tensión</t>
  </si>
  <si>
    <t>Red de baja tensión</t>
  </si>
  <si>
    <t>Red de alumbrado público</t>
  </si>
  <si>
    <t>Red de telecomunicaciones</t>
  </si>
  <si>
    <t>Red de gas natural</t>
  </si>
  <si>
    <t>Red de riego</t>
  </si>
  <si>
    <t>Jardinería</t>
  </si>
  <si>
    <t>Mobiliario urbano</t>
  </si>
  <si>
    <t>Residuos sólidos urbanos (RSU)</t>
  </si>
  <si>
    <t>Señalización horizontal y vertical</t>
  </si>
  <si>
    <t>Control de calidad</t>
  </si>
  <si>
    <t>Legalización y recepción de obras</t>
  </si>
  <si>
    <t>PLAZO TOTAL DEL PROYECTO (según PARÁMETROS)</t>
  </si>
  <si>
    <t>DISTRIBUCIÓN DE INVERSIÓN MENSUAL — CERTIFICACIONES PREVISTAS</t>
  </si>
  <si>
    <t>✔ Completado 10/04/2026. Distribución basada en Gantt (Plan de Obra) y BC3 (535.2.bc3). PEM = 3.737.657,65 €. NOTA: Electricidad, Telecomunicaciones y Gas no figuran en el BC3 civil → inversión = 0.</t>
  </si>
  <si>
    <t>ESTRUCTURA PREVISTA (a rellenar con presupuesto)</t>
  </si>
  <si>
    <t>CAPÍTULO / CATEGORÍA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</si>
  <si>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</si>
  <si>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</si>
  <si>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</si>
  <si>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</si>
  <si>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</si>
  <si>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</si>
  <si>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</si>
  <si>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</si>
  <si>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</si>
  <si>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</si>
  <si>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</si>
  <si>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</si>
  <si>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</si>
  <si>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</si>
  <si>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</si>
  <si>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</si>
  <si>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</si>
  <si>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</si>
  <si>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</si>
  <si>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</si>
  <si>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</si>
  <si>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</si>
  <si>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</si>
  <si>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</si>
  <si>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</si>
  <si>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</si>
  <si>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</si>
  <si>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</si>
  <si>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</si>
  <si>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</si>
  <si>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</si>
  <si>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</si>
  <si>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</si>
  <si>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</si>
  <si>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</si>
  <si>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</si>
  <si>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PRESUPUESTO TOTAL (PEM BC3 = 3,737,657.65 €)</t>
  </si>
  <si>
    <t>INVERSIÓN ACUMULADA (€)</t>
  </si>
  <si>
    <t>% CERTIFICADO ACUM.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</si>
</sst>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b/>
      <sz val="13"/>
      <color rgb="FFFFFFFF"/>
      <name val="Montserrat"/>
    </font>
    <font>
      <sz val="11"/>
      <color theme="1"/>
      <name val="Montserrat"/>
    </font>
    <font>
      <b/>
      <sz val="10"/>
      <color rgb="FFFFFFFF"/>
      <name val="Montserrat"/>
    </font>
    <font>
      <sz val="10"/>
      <color rgb="FF000000"/>
      <name val="Montserrat"/>
    </font>
    <font>
      <b/>
      <sz val="10"/>
      <color rgb="FF0000FF"/>
      <name val="Montserrat"/>
    </font>
    <font>
      <sz val="9"/>
      <color rgb="FF595959"/>
      <name val="Montserrat"/>
    </font>
    <font>
      <sz val="9"/>
      <color rgb="FF000000"/>
      <name val="Montserrat"/>
    </font>
    <font>
      <b/>
      <sz val="10"/>
      <color rgb="FF000000"/>
      <name val="Montserrat"/>
    </font>
    <font>
      <i/>
      <sz val="8"/>
      <color rgb="FF7F7F7F"/>
      <name val="Montserrat"/>
    </font>
    <font>
      <b/>
      <sz val="9"/>
      <color rgb="FFFFFFFF"/>
      <name val="Montserrat"/>
    </font>
    <font>
      <b/>
      <sz val="9"/>
      <color rgb="FF000000"/>
      <name val="Montserrat"/>
    </font>
    <font>
      <b/>
      <sz val="9"/>
      <color rgb="FF0000FF"/>
      <name val="Montserrat"/>
    </font>
    <font>
      <b/>
      <sz val="10"/>
      <name val="Montserrat"/>
    </font>
    <font>
      <b/>
      <sz val="11"/>
      <color rgb="FF0000FF"/>
      <name val="Montserrat"/>
    </font>
    <font>
      <b/>
      <sz val="7"/>
      <color rgb="FF000000"/>
      <name val="Montserrat"/>
    </font>
    <font>
      <b/>
      <sz val="8"/>
      <color rgb="FFFFFFFF"/>
      <name val="Montserrat"/>
    </font>
    <font>
      <b/>
      <sz val="7"/>
      <color rgb="FFFFFFFF"/>
      <name val="Montserrat"/>
    </font>
    <font>
      <b/>
      <sz val="8"/>
      <color rgb="FF000000"/>
      <name val="Montserrat"/>
    </font>
    <font>
      <sz val="7"/>
      <color rgb="FF000000"/>
      <name val="Montserrat"/>
    </font>
    <font>
      <b/>
      <sz val="7"/>
      <color rgb="FF0000FF"/>
      <name val="Montserrat"/>
    </font>
    <font>
      <b/>
      <sz val="12"/>
      <color rgb="FFFFFFFF"/>
      <name val="Montserrat"/>
    </font>
    <font>
      <i/>
      <sz val="9"/>
      <color rgb="FF7F7F7F"/>
      <name val="Montserrat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799"/>
        <bgColor rgb="FF4472C4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FC0"/>
      </patternFill>
    </fill>
    <fill>
      <patternFill patternType="solid">
        <fgColor rgb="FFF2F2F2"/>
        <bgColor rgb="FFF0F0F0"/>
      </patternFill>
    </fill>
    <fill>
      <patternFill patternType="solid">
        <fgColor rgb="FFD9E1F2"/>
        <bgColor rgb="FFDDEBF7"/>
      </patternFill>
    </fill>
    <fill>
      <patternFill patternType="solid">
        <fgColor rgb="FFFFFFC0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BF1DE"/>
      </patternFill>
    </fill>
    <fill>
      <patternFill patternType="solid">
        <fgColor rgb="FFDDEBF7"/>
        <bgColor rgb="FFD9E1F2"/>
      </patternFill>
    </fill>
    <fill>
      <patternFill patternType="solid">
        <fgColor rgb="FFE2D0F0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EBF1DE"/>
        <bgColor rgb="FFE2EFDA"/>
      </patternFill>
    </fill>
    <fill>
      <patternFill patternType="solid">
        <fgColor rgb="FFEDEDED"/>
        <bgColor rgb="FFF0F0F0"/>
      </patternFill>
    </fill>
    <fill>
      <patternFill patternType="solid">
        <fgColor rgb="FF4472C4"/>
        <bgColor rgb="FF2E5799"/>
      </patternFill>
    </fill>
    <fill>
      <patternFill patternType="solid">
        <fgColor rgb="FF70AD47"/>
        <bgColor rgb="FF92D050"/>
      </patternFill>
    </fill>
    <fill>
      <patternFill patternType="solid">
        <fgColor rgb="FF00B0F0"/>
        <bgColor rgb="FF33CCCC"/>
      </patternFill>
    </fill>
    <fill>
      <patternFill patternType="solid">
        <fgColor rgb="FFFF7C00"/>
        <bgColor rgb="FFFF9900"/>
      </patternFill>
    </fill>
    <fill>
      <patternFill patternType="solid">
        <fgColor rgb="FF7030A0"/>
        <bgColor rgb="FF993366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70AD47"/>
      </patternFill>
    </fill>
    <fill>
      <patternFill patternType="solid">
        <fgColor rgb="FFA5A5A5"/>
        <bgColor rgb="FFB4C6E7"/>
      </patternFill>
    </fill>
  </fills>
  <borders count="10">
    <border>
      <left/>
      <right/>
      <top/>
      <bottom/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2E5799"/>
      </left>
      <right/>
      <top style="thin">
        <color rgb="FF2E5799"/>
      </top>
      <bottom style="thin">
        <color rgb="FF2E579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2E5799"/>
      </top>
      <bottom style="thin">
        <color rgb="FF2E5799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6" xfId="0" applyFont="1" applyBorder="1"/>
    <xf numFmtId="0" fontId="3" fillId="3" borderId="2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/>
    </xf>
    <xf numFmtId="0" fontId="2" fillId="0" borderId="8" xfId="0" applyFont="1" applyBorder="1"/>
    <xf numFmtId="0" fontId="5" fillId="5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2" fillId="0" borderId="9" xfId="0" applyFont="1" applyBorder="1"/>
    <xf numFmtId="0" fontId="8" fillId="4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12" fillId="5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9" fontId="6" fillId="6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/>
    </xf>
    <xf numFmtId="0" fontId="11" fillId="11" borderId="4" xfId="0" applyFont="1" applyFill="1" applyBorder="1" applyAlignment="1">
      <alignment horizontal="left" vertical="center"/>
    </xf>
    <xf numFmtId="0" fontId="7" fillId="11" borderId="3" xfId="0" applyFont="1" applyFill="1" applyBorder="1" applyAlignment="1">
      <alignment horizontal="left" vertical="center"/>
    </xf>
    <xf numFmtId="0" fontId="11" fillId="12" borderId="4" xfId="0" applyFont="1" applyFill="1" applyBorder="1" applyAlignment="1">
      <alignment horizontal="left" vertical="center"/>
    </xf>
    <xf numFmtId="0" fontId="7" fillId="12" borderId="3" xfId="0" applyFont="1" applyFill="1" applyBorder="1" applyAlignment="1">
      <alignment horizontal="left" vertical="center"/>
    </xf>
    <xf numFmtId="0" fontId="11" fillId="10" borderId="4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/>
    </xf>
    <xf numFmtId="0" fontId="11" fillId="13" borderId="4" xfId="0" applyFont="1" applyFill="1" applyBorder="1" applyAlignment="1">
      <alignment horizontal="left" vertical="center"/>
    </xf>
    <xf numFmtId="0" fontId="7" fillId="13" borderId="3" xfId="0" applyFont="1" applyFill="1" applyBorder="1" applyAlignment="1">
      <alignment horizontal="left" vertical="center"/>
    </xf>
    <xf numFmtId="0" fontId="11" fillId="14" borderId="4" xfId="0" applyFont="1" applyFill="1" applyBorder="1" applyAlignment="1">
      <alignment horizontal="left" vertical="center"/>
    </xf>
    <xf numFmtId="0" fontId="7" fillId="14" borderId="3" xfId="0" applyFont="1" applyFill="1" applyBorder="1" applyAlignment="1">
      <alignment horizontal="left" vertical="center"/>
    </xf>
    <xf numFmtId="0" fontId="11" fillId="15" borderId="4" xfId="0" applyFont="1" applyFill="1" applyBorder="1" applyAlignment="1">
      <alignment horizontal="left" vertical="center"/>
    </xf>
    <xf numFmtId="0" fontId="7" fillId="15" borderId="3" xfId="0" applyFont="1" applyFill="1" applyBorder="1" applyAlignment="1">
      <alignment horizontal="left" vertical="center"/>
    </xf>
    <xf numFmtId="0" fontId="11" fillId="16" borderId="4" xfId="0" applyFont="1" applyFill="1" applyBorder="1" applyAlignment="1">
      <alignment horizontal="left" vertical="center"/>
    </xf>
    <xf numFmtId="0" fontId="7" fillId="16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3" fillId="10" borderId="3" xfId="0" applyFont="1" applyFill="1" applyBorder="1" applyAlignment="1">
      <alignment horizontal="center" vertical="center"/>
    </xf>
    <xf numFmtId="0" fontId="2" fillId="6" borderId="3" xfId="0" applyFont="1" applyFill="1" applyBorder="1"/>
    <xf numFmtId="0" fontId="8" fillId="6" borderId="4" xfId="0" applyFont="1" applyFill="1" applyBorder="1" applyAlignment="1">
      <alignment horizontal="right" vertical="center"/>
    </xf>
    <xf numFmtId="0" fontId="14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15" fillId="17" borderId="4" xfId="0" applyFont="1" applyFill="1" applyBorder="1" applyAlignment="1">
      <alignment horizontal="center" vertical="center"/>
    </xf>
    <xf numFmtId="0" fontId="15" fillId="18" borderId="4" xfId="0" applyFont="1" applyFill="1" applyBorder="1" applyAlignment="1">
      <alignment horizontal="center" vertical="center"/>
    </xf>
    <xf numFmtId="0" fontId="15" fillId="19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15" fillId="21" borderId="4" xfId="0" applyFont="1" applyFill="1" applyBorder="1" applyAlignment="1">
      <alignment horizontal="center" vertical="center"/>
    </xf>
    <xf numFmtId="0" fontId="15" fillId="22" borderId="4" xfId="0" applyFont="1" applyFill="1" applyBorder="1" applyAlignment="1">
      <alignment horizontal="center" vertical="center"/>
    </xf>
    <xf numFmtId="0" fontId="15" fillId="23" borderId="4" xfId="0" applyFont="1" applyFill="1" applyBorder="1" applyAlignment="1">
      <alignment horizontal="center" vertical="center"/>
    </xf>
    <xf numFmtId="0" fontId="15" fillId="24" borderId="4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/>
    </xf>
    <xf numFmtId="0" fontId="19" fillId="4" borderId="3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left" vertical="center"/>
    </xf>
    <xf numFmtId="0" fontId="19" fillId="4" borderId="3" xfId="0" applyFont="1" applyFill="1" applyBorder="1" applyAlignment="1">
      <alignment horizontal="left" vertical="center"/>
    </xf>
    <xf numFmtId="0" fontId="20" fillId="5" borderId="3" xfId="0" applyFont="1" applyFill="1" applyBorder="1" applyAlignment="1">
      <alignment horizontal="center" vertical="center"/>
    </xf>
    <xf numFmtId="0" fontId="2" fillId="4" borderId="5" xfId="0" applyFont="1" applyFill="1" applyBorder="1"/>
    <xf numFmtId="0" fontId="19" fillId="7" borderId="3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left" vertical="center"/>
    </xf>
    <xf numFmtId="0" fontId="2" fillId="7" borderId="5" xfId="0" applyFont="1" applyFill="1" applyBorder="1"/>
    <xf numFmtId="0" fontId="18" fillId="11" borderId="4" xfId="0" applyFont="1" applyFill="1" applyBorder="1" applyAlignment="1">
      <alignment horizontal="left" vertical="center"/>
    </xf>
    <xf numFmtId="0" fontId="19" fillId="11" borderId="3" xfId="0" applyFont="1" applyFill="1" applyBorder="1" applyAlignment="1">
      <alignment horizontal="left" vertical="center"/>
    </xf>
    <xf numFmtId="0" fontId="18" fillId="12" borderId="4" xfId="0" applyFont="1" applyFill="1" applyBorder="1" applyAlignment="1">
      <alignment horizontal="left" vertical="center"/>
    </xf>
    <xf numFmtId="0" fontId="19" fillId="12" borderId="3" xfId="0" applyFont="1" applyFill="1" applyBorder="1" applyAlignment="1">
      <alignment horizontal="left" vertical="center"/>
    </xf>
    <xf numFmtId="0" fontId="18" fillId="10" borderId="4" xfId="0" applyFont="1" applyFill="1" applyBorder="1" applyAlignment="1">
      <alignment horizontal="left" vertical="center"/>
    </xf>
    <xf numFmtId="0" fontId="19" fillId="10" borderId="3" xfId="0" applyFont="1" applyFill="1" applyBorder="1" applyAlignment="1">
      <alignment horizontal="left" vertical="center"/>
    </xf>
    <xf numFmtId="0" fontId="18" fillId="13" borderId="4" xfId="0" applyFont="1" applyFill="1" applyBorder="1" applyAlignment="1">
      <alignment horizontal="left" vertical="center"/>
    </xf>
    <xf numFmtId="0" fontId="19" fillId="13" borderId="3" xfId="0" applyFont="1" applyFill="1" applyBorder="1" applyAlignment="1">
      <alignment horizontal="left" vertical="center"/>
    </xf>
    <xf numFmtId="0" fontId="18" fillId="14" borderId="4" xfId="0" applyFont="1" applyFill="1" applyBorder="1" applyAlignment="1">
      <alignment horizontal="left" vertical="center"/>
    </xf>
    <xf numFmtId="0" fontId="19" fillId="14" borderId="3" xfId="0" applyFont="1" applyFill="1" applyBorder="1" applyAlignment="1">
      <alignment horizontal="left" vertical="center"/>
    </xf>
    <xf numFmtId="0" fontId="18" fillId="15" borderId="4" xfId="0" applyFont="1" applyFill="1" applyBorder="1" applyAlignment="1">
      <alignment horizontal="left" vertical="center"/>
    </xf>
    <xf numFmtId="0" fontId="19" fillId="15" borderId="3" xfId="0" applyFont="1" applyFill="1" applyBorder="1" applyAlignment="1">
      <alignment horizontal="left" vertical="center"/>
    </xf>
    <xf numFmtId="0" fontId="18" fillId="16" borderId="4" xfId="0" applyFont="1" applyFill="1" applyBorder="1" applyAlignment="1">
      <alignment horizontal="left" vertical="center"/>
    </xf>
    <xf numFmtId="0" fontId="19" fillId="16" borderId="3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 wrapText="1"/>
    </xf>
    <xf numFmtId="0" fontId="2" fillId="7" borderId="3" xfId="0" applyFont="1" applyFill="1" applyBorder="1"/>
    <xf numFmtId="0" fontId="2" fillId="4" borderId="3" xfId="0" applyFont="1" applyFill="1" applyBorder="1"/>
    <xf numFmtId="0" fontId="11" fillId="3" borderId="3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</cellXfs>
  <cellStyles count="1">
    <cellStyle name="Normal" xfId="0" builtinId="0"/>
  </cellStyles>
  <dxfs count="16">
    <dxf>
      <fill>
        <patternFill>
          <bgColor rgb="FFF0F0F0"/>
        </patternFill>
      </fill>
    </dxf>
    <dxf>
      <font>
        <color rgb="FFA5A5A5"/>
        <name val="Arial"/>
        <charset val="1"/>
      </font>
      <fill>
        <patternFill>
          <bgColor rgb="FFA5A5A5"/>
        </patternFill>
      </fill>
    </dxf>
    <dxf>
      <fill>
        <patternFill>
          <bgColor rgb="FFF0F0F0"/>
        </patternFill>
      </fill>
    </dxf>
    <dxf>
      <font>
        <color rgb="FF92D050"/>
        <name val="Arial"/>
        <charset val="1"/>
      </font>
      <fill>
        <patternFill>
          <bgColor rgb="FF92D050"/>
        </patternFill>
      </fill>
    </dxf>
    <dxf>
      <fill>
        <patternFill>
          <bgColor rgb="FFF0F0F0"/>
        </patternFill>
      </fill>
    </dxf>
    <dxf>
      <font>
        <color rgb="FFFFC000"/>
        <name val="Arial"/>
        <charset val="1"/>
      </font>
      <fill>
        <patternFill>
          <bgColor rgb="FFFFC000"/>
        </patternFill>
      </fill>
    </dxf>
    <dxf>
      <fill>
        <patternFill>
          <bgColor rgb="FFF0F0F0"/>
        </patternFill>
      </fill>
    </dxf>
    <dxf>
      <font>
        <color rgb="FF7030A0"/>
        <name val="Arial"/>
        <charset val="1"/>
      </font>
      <fill>
        <patternFill>
          <bgColor rgb="FF7030A0"/>
        </patternFill>
      </fill>
    </dxf>
    <dxf>
      <fill>
        <patternFill>
          <bgColor rgb="FFF0F0F0"/>
        </patternFill>
      </fill>
    </dxf>
    <dxf>
      <font>
        <color rgb="FFFF7C00"/>
        <name val="Arial"/>
        <charset val="1"/>
      </font>
      <fill>
        <patternFill>
          <bgColor rgb="FFFF7C00"/>
        </patternFill>
      </fill>
    </dxf>
    <dxf>
      <fill>
        <patternFill>
          <bgColor rgb="FFF0F0F0"/>
        </patternFill>
      </fill>
    </dxf>
    <dxf>
      <font>
        <color rgb="FF00B0F0"/>
        <name val="Arial"/>
        <charset val="1"/>
      </font>
      <fill>
        <patternFill>
          <bgColor rgb="FF00B0F0"/>
        </patternFill>
      </fill>
    </dxf>
    <dxf>
      <fill>
        <patternFill>
          <bgColor rgb="FFF0F0F0"/>
        </patternFill>
      </fill>
    </dxf>
    <dxf>
      <font>
        <color rgb="FF70AD47"/>
        <name val="Arial"/>
        <charset val="1"/>
      </font>
      <fill>
        <patternFill>
          <bgColor rgb="FF70AD47"/>
        </patternFill>
      </fill>
    </dxf>
    <dxf>
      <fill>
        <patternFill>
          <bgColor rgb="FFF0F0F0"/>
        </patternFill>
      </fill>
    </dxf>
    <dxf>
      <font>
        <color rgb="FF4472C4"/>
        <name val="Arial"/>
        <charset val="1"/>
      </font>
      <fill>
        <patternFill>
          <bgColor rgb="FF4472C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7F7F7F"/>
      <rgbColor rgb="FFEDEDED"/>
      <rgbColor rgb="FF7030A0"/>
      <rgbColor rgb="FFFFFFC0"/>
      <rgbColor rgb="FFDDEBF7"/>
      <rgbColor rgb="FF660066"/>
      <rgbColor rgb="FFF2F2F2"/>
      <rgbColor rgb="FF0066CC"/>
      <rgbColor rgb="FFBDD7EE"/>
      <rgbColor rgb="FF000080"/>
      <rgbColor rgb="FFFF00FF"/>
      <rgbColor rgb="FFF0F0F0"/>
      <rgbColor rgb="FF00FFFF"/>
      <rgbColor rgb="FF800080"/>
      <rgbColor rgb="FF800000"/>
      <rgbColor rgb="FF008080"/>
      <rgbColor rgb="FF0000FF"/>
      <rgbColor rgb="FF00B0F0"/>
      <rgbColor rgb="FFEBF1DE"/>
      <rgbColor rgb="FFE2EFDA"/>
      <rgbColor rgb="FFFFEB9C"/>
      <rgbColor rgb="FFD0D0D0"/>
      <rgbColor rgb="FFD9E1F2"/>
      <rgbColor rgb="FFE2D0F0"/>
      <rgbColor rgb="FFFCE4D6"/>
      <rgbColor rgb="FF4472C4"/>
      <rgbColor rgb="FF33CCCC"/>
      <rgbColor rgb="FF92D050"/>
      <rgbColor rgb="FFFFC000"/>
      <rgbColor rgb="FFFF9900"/>
      <rgbColor rgb="FFFF7C00"/>
      <rgbColor rgb="FF595959"/>
      <rgbColor rgb="FFA5A5A5"/>
      <rgbColor rgb="FF1F3864"/>
      <rgbColor rgb="FF70AD47"/>
      <rgbColor rgb="FF003300"/>
      <rgbColor rgb="FF333300"/>
      <rgbColor rgb="FF993300"/>
      <rgbColor rgb="FF993366"/>
      <rgbColor rgb="FF2E57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8"/>
  <sheetViews>
    <sheetView showGridLines="0" zoomScaleNormal="100" workbookViewId="0"/>
  </sheetViews>
  <sheetFormatPr baseColWidth="10" defaultColWidth="8.7109375" defaultRowHeight="15" customHeight="1" x14ac:dyDescent="0.25"/>
  <cols>
    <col min="1" max="1" width="2" customWidth="1"/>
    <col min="2" max="2" width="38" customWidth="1"/>
    <col min="3" max="3" width="32" customWidth="1"/>
    <col min="4" max="4" width="18" customWidth="1"/>
    <col min="5" max="5" width="2" customWidth="1"/>
  </cols>
  <sheetData>
    <row r="1" spans="2:4" ht="27.75" customHeight="1" x14ac:dyDescent="0.35">
      <c r="B1" s="1" t="s">
        <v>24</v>
      </c>
      <c r="C1" s="2"/>
      <c r="D1" s="2"/>
    </row>
    <row r="2" spans="2:4" ht="18" customHeight="1" x14ac:dyDescent="0.35">
      <c r="B2" s="3" t="s">
        <v>25</v>
      </c>
      <c r="C2" s="4"/>
      <c r="D2" s="4"/>
    </row>
    <row r="3" spans="2:4" ht="7.5" customHeight="1" x14ac:dyDescent="0.35">
      <c r="B3" s="5"/>
      <c r="C3" s="5"/>
      <c r="D3" s="5"/>
    </row>
    <row r="4" spans="2:4" ht="18" customHeight="1" x14ac:dyDescent="0.25">
      <c r="B4" s="6" t="s">
        <v>26</v>
      </c>
      <c r="C4" s="6" t="s">
        <v>27</v>
      </c>
      <c r="D4" s="6" t="s">
        <v>28</v>
      </c>
    </row>
    <row r="5" spans="2:4" ht="18" customHeight="1" x14ac:dyDescent="0.25">
      <c r="B5" s="7" t="s">
        <v>29</v>
      </c>
      <c r="C5" s="8" t="s">
        <v>30</v>
      </c>
      <c r="D5" s="9" t="s">
        <v>31</v>
      </c>
    </row>
    <row r="6" spans="2:4" ht="18" customHeight="1" x14ac:dyDescent="0.25">
      <c r="B6" s="10" t="s">
        <v>32</v>
      </c>
      <c r="C6" s="8" t="s">
        <v>33</v>
      </c>
      <c r="D6" s="11" t="s">
        <v>34</v>
      </c>
    </row>
    <row r="7" spans="2:4" ht="18" customHeight="1" x14ac:dyDescent="0.25">
      <c r="B7" s="7" t="s">
        <v>35</v>
      </c>
      <c r="C7" s="8" t="s">
        <v>36</v>
      </c>
      <c r="D7" s="9"/>
    </row>
    <row r="8" spans="2:4" ht="18" customHeight="1" x14ac:dyDescent="0.25">
      <c r="B8" s="10" t="s">
        <v>37</v>
      </c>
      <c r="C8" s="8" t="s">
        <v>38</v>
      </c>
      <c r="D8" s="11"/>
    </row>
    <row r="9" spans="2:4" ht="18" customHeight="1" x14ac:dyDescent="0.25">
      <c r="B9" s="7" t="s">
        <v>39</v>
      </c>
      <c r="C9" s="8">
        <v>18</v>
      </c>
      <c r="D9" s="9" t="s">
        <v>40</v>
      </c>
    </row>
    <row r="10" spans="2:4" ht="18" customHeight="1" x14ac:dyDescent="0.25">
      <c r="B10" s="10" t="s">
        <v>41</v>
      </c>
      <c r="C10" s="8" t="s">
        <v>42</v>
      </c>
      <c r="D10" s="11" t="s">
        <v>43</v>
      </c>
    </row>
    <row r="11" spans="2:4" ht="18" customHeight="1" x14ac:dyDescent="0.25">
      <c r="B11" s="7" t="s">
        <v>44</v>
      </c>
      <c r="C11" s="8">
        <v>24</v>
      </c>
      <c r="D11" s="9" t="s">
        <v>45</v>
      </c>
    </row>
    <row r="12" spans="2:4" ht="18" customHeight="1" x14ac:dyDescent="0.25">
      <c r="B12" s="10" t="s">
        <v>46</v>
      </c>
      <c r="C12" s="8">
        <v>20</v>
      </c>
      <c r="D12" s="11" t="s">
        <v>47</v>
      </c>
    </row>
    <row r="13" spans="2:4" ht="15" customHeight="1" x14ac:dyDescent="0.35">
      <c r="B13" s="5"/>
      <c r="C13" s="5"/>
      <c r="D13" s="5"/>
    </row>
    <row r="14" spans="2:4" ht="12" customHeight="1" x14ac:dyDescent="0.35">
      <c r="B14" s="5"/>
      <c r="C14" s="5"/>
      <c r="D14" s="5"/>
    </row>
    <row r="15" spans="2:4" ht="18" customHeight="1" x14ac:dyDescent="0.35">
      <c r="B15" s="12" t="s">
        <v>48</v>
      </c>
      <c r="C15" s="13"/>
      <c r="D15" s="13"/>
    </row>
    <row r="16" spans="2:4" ht="15.75" customHeight="1" x14ac:dyDescent="0.35">
      <c r="B16" s="14" t="s">
        <v>49</v>
      </c>
      <c r="C16" s="15" t="s">
        <v>50</v>
      </c>
      <c r="D16" s="16"/>
    </row>
    <row r="17" spans="2:4" ht="15.75" customHeight="1" x14ac:dyDescent="0.35">
      <c r="B17" s="17" t="s">
        <v>51</v>
      </c>
      <c r="C17" s="15" t="s">
        <v>52</v>
      </c>
      <c r="D17" s="16"/>
    </row>
    <row r="18" spans="2:4" ht="15.75" customHeight="1" x14ac:dyDescent="0.35">
      <c r="B18" s="18" t="s">
        <v>53</v>
      </c>
      <c r="C18" s="15" t="s">
        <v>54</v>
      </c>
      <c r="D18" s="16"/>
    </row>
  </sheetData>
  <mergeCells count="6">
    <mergeCell ref="C16:D16"/>
    <mergeCell ref="B1:D1"/>
    <mergeCell ref="C18:D18"/>
    <mergeCell ref="B15:D15"/>
    <mergeCell ref="C17:D17"/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showGridLines="0" zoomScaleNormal="100" workbookViewId="0"/>
  </sheetViews>
  <sheetFormatPr baseColWidth="10" defaultColWidth="8.7109375" defaultRowHeight="15" customHeight="1" x14ac:dyDescent="0.25"/>
  <cols>
    <col min="1" max="1" width="5" customWidth="1"/>
    <col min="2" max="2" width="22" customWidth="1"/>
    <col min="3" max="3" width="40" customWidth="1"/>
    <col min="4" max="4" width="11" customWidth="1"/>
    <col min="5" max="5" width="13" customWidth="1"/>
    <col min="6" max="6" width="9" customWidth="1"/>
    <col min="7" max="7" width="10" customWidth="1"/>
  </cols>
  <sheetData>
    <row r="1" spans="1:7" ht="25.5" customHeight="1" x14ac:dyDescent="0.35">
      <c r="A1" s="19" t="s">
        <v>55</v>
      </c>
      <c r="B1" s="20"/>
      <c r="C1" s="20"/>
      <c r="D1" s="20"/>
      <c r="E1" s="20"/>
      <c r="F1" s="20"/>
      <c r="G1" s="20"/>
    </row>
    <row r="2" spans="1:7" ht="15.75" customHeight="1" x14ac:dyDescent="0.35">
      <c r="A2" s="21" t="str">
        <f>PARÁMETROS!C5</f>
        <v>MEJORA CARRETERA GUADALMAR, MÁLAGA</v>
      </c>
      <c r="B2" s="20"/>
      <c r="C2" s="20"/>
      <c r="D2" s="20"/>
      <c r="E2" s="20"/>
      <c r="F2" s="20"/>
      <c r="G2" s="20"/>
    </row>
    <row r="3" spans="1:7" ht="13.5" customHeight="1" x14ac:dyDescent="0.35">
      <c r="A3" s="22" t="s">
        <v>56</v>
      </c>
      <c r="B3" s="20"/>
      <c r="C3" s="20"/>
      <c r="D3" s="20"/>
      <c r="E3" s="20"/>
      <c r="F3" s="20"/>
      <c r="G3" s="20"/>
    </row>
    <row r="4" spans="1:7" ht="7.5" customHeight="1" x14ac:dyDescent="0.35">
      <c r="A4" s="5"/>
      <c r="B4" s="5"/>
      <c r="C4" s="5"/>
      <c r="D4" s="5"/>
      <c r="E4" s="5"/>
      <c r="F4" s="5"/>
      <c r="G4" s="5"/>
    </row>
    <row r="5" spans="1:7" ht="30" customHeight="1" x14ac:dyDescent="0.25">
      <c r="A5" s="23" t="s">
        <v>11</v>
      </c>
      <c r="B5" s="23" t="s">
        <v>12</v>
      </c>
      <c r="C5" s="23" t="s">
        <v>13</v>
      </c>
      <c r="D5" s="23" t="s">
        <v>57</v>
      </c>
      <c r="E5" s="23" t="s">
        <v>58</v>
      </c>
      <c r="F5" s="23" t="s">
        <v>59</v>
      </c>
      <c r="G5" s="23" t="s">
        <v>60</v>
      </c>
    </row>
    <row r="6" spans="1:7" ht="15.75" customHeight="1" x14ac:dyDescent="0.35">
      <c r="A6" s="24" t="s">
        <v>16</v>
      </c>
      <c r="B6" s="13"/>
      <c r="C6" s="13"/>
      <c r="D6" s="13"/>
      <c r="E6" s="13"/>
      <c r="F6" s="13"/>
      <c r="G6" s="13"/>
    </row>
    <row r="7" spans="1:7" ht="15.75" customHeight="1" x14ac:dyDescent="0.25">
      <c r="A7" s="25">
        <v>1</v>
      </c>
      <c r="B7" s="26" t="s">
        <v>3</v>
      </c>
      <c r="C7" s="27" t="s">
        <v>61</v>
      </c>
      <c r="D7" s="28">
        <v>1</v>
      </c>
      <c r="E7" s="28">
        <v>2</v>
      </c>
      <c r="F7" s="29">
        <f>D7+E7-1</f>
        <v>2</v>
      </c>
      <c r="G7" s="30">
        <v>0</v>
      </c>
    </row>
    <row r="8" spans="1:7" ht="15.75" customHeight="1" x14ac:dyDescent="0.25">
      <c r="A8" s="31">
        <v>2</v>
      </c>
      <c r="B8" s="26" t="s">
        <v>3</v>
      </c>
      <c r="C8" s="32" t="s">
        <v>62</v>
      </c>
      <c r="D8" s="28">
        <v>1</v>
      </c>
      <c r="E8" s="28">
        <v>8</v>
      </c>
      <c r="F8" s="29">
        <f>D8+E8-1</f>
        <v>8</v>
      </c>
      <c r="G8" s="30">
        <v>0</v>
      </c>
    </row>
    <row r="9" spans="1:7" ht="15.75" customHeight="1" x14ac:dyDescent="0.25">
      <c r="A9" s="25">
        <v>3</v>
      </c>
      <c r="B9" s="26" t="s">
        <v>3</v>
      </c>
      <c r="C9" s="27" t="s">
        <v>63</v>
      </c>
      <c r="D9" s="28">
        <v>3</v>
      </c>
      <c r="E9" s="28">
        <v>4</v>
      </c>
      <c r="F9" s="29">
        <f>D9+E9-1</f>
        <v>6</v>
      </c>
      <c r="G9" s="30">
        <v>0</v>
      </c>
    </row>
    <row r="10" spans="1:7" ht="15.75" customHeight="1" x14ac:dyDescent="0.25">
      <c r="A10" s="31">
        <v>4</v>
      </c>
      <c r="B10" s="26" t="s">
        <v>3</v>
      </c>
      <c r="C10" s="32" t="s">
        <v>64</v>
      </c>
      <c r="D10" s="28">
        <v>9</v>
      </c>
      <c r="E10" s="28">
        <v>7</v>
      </c>
      <c r="F10" s="29">
        <f>D10+E10-1</f>
        <v>15</v>
      </c>
      <c r="G10" s="30">
        <v>0</v>
      </c>
    </row>
    <row r="11" spans="1:7" ht="15.75" customHeight="1" x14ac:dyDescent="0.35">
      <c r="A11" s="33" t="s">
        <v>17</v>
      </c>
      <c r="B11" s="13"/>
      <c r="C11" s="13"/>
      <c r="D11" s="13"/>
      <c r="E11" s="13"/>
      <c r="F11" s="13"/>
      <c r="G11" s="13"/>
    </row>
    <row r="12" spans="1:7" ht="15.75" customHeight="1" x14ac:dyDescent="0.25">
      <c r="A12" s="25">
        <v>5</v>
      </c>
      <c r="B12" s="34" t="s">
        <v>4</v>
      </c>
      <c r="C12" s="27" t="s">
        <v>65</v>
      </c>
      <c r="D12" s="28">
        <v>4</v>
      </c>
      <c r="E12" s="28">
        <v>8</v>
      </c>
      <c r="F12" s="29">
        <f>D12+E12-1</f>
        <v>11</v>
      </c>
      <c r="G12" s="30">
        <v>0</v>
      </c>
    </row>
    <row r="13" spans="1:7" ht="15.75" customHeight="1" x14ac:dyDescent="0.25">
      <c r="A13" s="31">
        <v>6</v>
      </c>
      <c r="B13" s="34" t="s">
        <v>4</v>
      </c>
      <c r="C13" s="32" t="s">
        <v>66</v>
      </c>
      <c r="D13" s="28">
        <v>6</v>
      </c>
      <c r="E13" s="28">
        <v>7</v>
      </c>
      <c r="F13" s="29">
        <f>D13+E13-1</f>
        <v>12</v>
      </c>
      <c r="G13" s="30">
        <v>0</v>
      </c>
    </row>
    <row r="14" spans="1:7" ht="15.75" customHeight="1" x14ac:dyDescent="0.35">
      <c r="A14" s="35" t="s">
        <v>18</v>
      </c>
      <c r="B14" s="13"/>
      <c r="C14" s="13"/>
      <c r="D14" s="13"/>
      <c r="E14" s="13"/>
      <c r="F14" s="13"/>
      <c r="G14" s="13"/>
    </row>
    <row r="15" spans="1:7" ht="15.75" customHeight="1" x14ac:dyDescent="0.25">
      <c r="A15" s="25">
        <v>7</v>
      </c>
      <c r="B15" s="36" t="s">
        <v>5</v>
      </c>
      <c r="C15" s="27" t="s">
        <v>67</v>
      </c>
      <c r="D15" s="28">
        <v>10</v>
      </c>
      <c r="E15" s="28">
        <v>5</v>
      </c>
      <c r="F15" s="29">
        <f>D15+E15-1</f>
        <v>14</v>
      </c>
      <c r="G15" s="30">
        <v>0</v>
      </c>
    </row>
    <row r="16" spans="1:7" ht="15.75" customHeight="1" x14ac:dyDescent="0.35">
      <c r="A16" s="37" t="s">
        <v>19</v>
      </c>
      <c r="B16" s="13"/>
      <c r="C16" s="13"/>
      <c r="D16" s="13"/>
      <c r="E16" s="13"/>
      <c r="F16" s="13"/>
      <c r="G16" s="13"/>
    </row>
    <row r="17" spans="1:7" ht="15.75" customHeight="1" x14ac:dyDescent="0.25">
      <c r="A17" s="31">
        <v>8</v>
      </c>
      <c r="B17" s="38" t="s">
        <v>6</v>
      </c>
      <c r="C17" s="32" t="s">
        <v>68</v>
      </c>
      <c r="D17" s="28">
        <v>12</v>
      </c>
      <c r="E17" s="28">
        <v>6</v>
      </c>
      <c r="F17" s="29">
        <f>D17+E17-1</f>
        <v>17</v>
      </c>
      <c r="G17" s="30">
        <v>0</v>
      </c>
    </row>
    <row r="18" spans="1:7" ht="15.75" customHeight="1" x14ac:dyDescent="0.25">
      <c r="A18" s="25">
        <v>9</v>
      </c>
      <c r="B18" s="38" t="s">
        <v>6</v>
      </c>
      <c r="C18" s="27" t="s">
        <v>69</v>
      </c>
      <c r="D18" s="28">
        <v>13</v>
      </c>
      <c r="E18" s="28">
        <v>3</v>
      </c>
      <c r="F18" s="29">
        <f>D18+E18-1</f>
        <v>15</v>
      </c>
      <c r="G18" s="30">
        <v>0</v>
      </c>
    </row>
    <row r="19" spans="1:7" ht="15.75" customHeight="1" x14ac:dyDescent="0.25">
      <c r="A19" s="31">
        <v>10</v>
      </c>
      <c r="B19" s="38" t="s">
        <v>6</v>
      </c>
      <c r="C19" s="32" t="s">
        <v>70</v>
      </c>
      <c r="D19" s="28">
        <v>15</v>
      </c>
      <c r="E19" s="28">
        <v>3</v>
      </c>
      <c r="F19" s="29">
        <f>D19+E19-1</f>
        <v>17</v>
      </c>
      <c r="G19" s="30">
        <v>0</v>
      </c>
    </row>
    <row r="20" spans="1:7" ht="15.75" customHeight="1" x14ac:dyDescent="0.35">
      <c r="A20" s="39" t="s">
        <v>20</v>
      </c>
      <c r="B20" s="13"/>
      <c r="C20" s="13"/>
      <c r="D20" s="13"/>
      <c r="E20" s="13"/>
      <c r="F20" s="13"/>
      <c r="G20" s="13"/>
    </row>
    <row r="21" spans="1:7" ht="15.75" customHeight="1" x14ac:dyDescent="0.25">
      <c r="A21" s="25">
        <v>11</v>
      </c>
      <c r="B21" s="40" t="s">
        <v>7</v>
      </c>
      <c r="C21" s="27" t="s">
        <v>71</v>
      </c>
      <c r="D21" s="28">
        <v>13</v>
      </c>
      <c r="E21" s="28">
        <v>5</v>
      </c>
      <c r="F21" s="29">
        <f>D21+E21-1</f>
        <v>17</v>
      </c>
      <c r="G21" s="30">
        <v>0</v>
      </c>
    </row>
    <row r="22" spans="1:7" ht="15.75" customHeight="1" x14ac:dyDescent="0.35">
      <c r="A22" s="41" t="s">
        <v>21</v>
      </c>
      <c r="B22" s="13"/>
      <c r="C22" s="13"/>
      <c r="D22" s="13"/>
      <c r="E22" s="13"/>
      <c r="F22" s="13"/>
      <c r="G22" s="13"/>
    </row>
    <row r="23" spans="1:7" ht="15.75" customHeight="1" x14ac:dyDescent="0.25">
      <c r="A23" s="31">
        <v>12</v>
      </c>
      <c r="B23" s="42" t="s">
        <v>8</v>
      </c>
      <c r="C23" s="32" t="s">
        <v>72</v>
      </c>
      <c r="D23" s="28">
        <v>13</v>
      </c>
      <c r="E23" s="28">
        <v>3</v>
      </c>
      <c r="F23" s="29">
        <f>D23+E23-1</f>
        <v>15</v>
      </c>
      <c r="G23" s="30">
        <v>0</v>
      </c>
    </row>
    <row r="24" spans="1:7" ht="15.75" customHeight="1" x14ac:dyDescent="0.35">
      <c r="A24" s="43" t="s">
        <v>22</v>
      </c>
      <c r="B24" s="13"/>
      <c r="C24" s="13"/>
      <c r="D24" s="13"/>
      <c r="E24" s="13"/>
      <c r="F24" s="13"/>
      <c r="G24" s="13"/>
    </row>
    <row r="25" spans="1:7" ht="15.75" customHeight="1" x14ac:dyDescent="0.25">
      <c r="A25" s="25">
        <v>13</v>
      </c>
      <c r="B25" s="44" t="s">
        <v>9</v>
      </c>
      <c r="C25" s="27" t="s">
        <v>73</v>
      </c>
      <c r="D25" s="28">
        <v>12</v>
      </c>
      <c r="E25" s="28">
        <v>3</v>
      </c>
      <c r="F25" s="29">
        <f>D25+E25-1</f>
        <v>14</v>
      </c>
      <c r="G25" s="30">
        <v>0</v>
      </c>
    </row>
    <row r="26" spans="1:7" ht="15.75" customHeight="1" x14ac:dyDescent="0.25">
      <c r="A26" s="31">
        <v>14</v>
      </c>
      <c r="B26" s="44" t="s">
        <v>9</v>
      </c>
      <c r="C26" s="32" t="s">
        <v>74</v>
      </c>
      <c r="D26" s="28">
        <v>12</v>
      </c>
      <c r="E26" s="28">
        <v>7</v>
      </c>
      <c r="F26" s="29">
        <f>D26+E26-1</f>
        <v>18</v>
      </c>
      <c r="G26" s="30">
        <v>0</v>
      </c>
    </row>
    <row r="27" spans="1:7" ht="15.75" customHeight="1" x14ac:dyDescent="0.25">
      <c r="A27" s="25">
        <v>15</v>
      </c>
      <c r="B27" s="44" t="s">
        <v>9</v>
      </c>
      <c r="C27" s="27" t="s">
        <v>75</v>
      </c>
      <c r="D27" s="28">
        <v>13</v>
      </c>
      <c r="E27" s="28">
        <v>5</v>
      </c>
      <c r="F27" s="29">
        <f>D27+E27-1</f>
        <v>17</v>
      </c>
      <c r="G27" s="30">
        <v>0</v>
      </c>
    </row>
    <row r="28" spans="1:7" ht="15.75" customHeight="1" x14ac:dyDescent="0.25">
      <c r="A28" s="31">
        <v>16</v>
      </c>
      <c r="B28" s="44" t="s">
        <v>9</v>
      </c>
      <c r="C28" s="32" t="s">
        <v>76</v>
      </c>
      <c r="D28" s="28">
        <v>15</v>
      </c>
      <c r="E28" s="28">
        <v>1</v>
      </c>
      <c r="F28" s="29">
        <f>D28+E28-1</f>
        <v>15</v>
      </c>
      <c r="G28" s="30">
        <v>0</v>
      </c>
    </row>
    <row r="29" spans="1:7" ht="15.75" customHeight="1" x14ac:dyDescent="0.25">
      <c r="A29" s="25">
        <v>17</v>
      </c>
      <c r="B29" s="44" t="s">
        <v>9</v>
      </c>
      <c r="C29" s="27" t="s">
        <v>77</v>
      </c>
      <c r="D29" s="28">
        <v>16</v>
      </c>
      <c r="E29" s="28">
        <v>2</v>
      </c>
      <c r="F29" s="29">
        <f>D29+E29-1</f>
        <v>17</v>
      </c>
      <c r="G29" s="30">
        <v>0</v>
      </c>
    </row>
    <row r="30" spans="1:7" ht="15.75" customHeight="1" x14ac:dyDescent="0.35">
      <c r="A30" s="45" t="s">
        <v>23</v>
      </c>
      <c r="B30" s="13"/>
      <c r="C30" s="13"/>
      <c r="D30" s="13"/>
      <c r="E30" s="13"/>
      <c r="F30" s="13"/>
      <c r="G30" s="13"/>
    </row>
    <row r="31" spans="1:7" ht="15.75" customHeight="1" x14ac:dyDescent="0.25">
      <c r="A31" s="31">
        <v>18</v>
      </c>
      <c r="B31" s="46" t="s">
        <v>10</v>
      </c>
      <c r="C31" s="32" t="s">
        <v>78</v>
      </c>
      <c r="D31" s="28">
        <v>1</v>
      </c>
      <c r="E31" s="28">
        <v>18</v>
      </c>
      <c r="F31" s="29">
        <f>D31+E31-1</f>
        <v>18</v>
      </c>
      <c r="G31" s="30">
        <v>0</v>
      </c>
    </row>
    <row r="32" spans="1:7" ht="15.75" customHeight="1" x14ac:dyDescent="0.25">
      <c r="A32" s="25">
        <v>19</v>
      </c>
      <c r="B32" s="46" t="s">
        <v>10</v>
      </c>
      <c r="C32" s="27" t="s">
        <v>79</v>
      </c>
      <c r="D32" s="28">
        <v>12</v>
      </c>
      <c r="E32" s="28">
        <v>7</v>
      </c>
      <c r="F32" s="29">
        <f>D32+E32-1</f>
        <v>18</v>
      </c>
      <c r="G32" s="30">
        <v>0</v>
      </c>
    </row>
    <row r="33" spans="1:7" ht="15" customHeight="1" x14ac:dyDescent="0.35">
      <c r="A33" s="5"/>
      <c r="B33" s="5"/>
      <c r="C33" s="5"/>
      <c r="D33" s="5"/>
      <c r="E33" s="5"/>
      <c r="F33" s="5"/>
      <c r="G33" s="5"/>
    </row>
    <row r="34" spans="1:7" ht="18" customHeight="1" x14ac:dyDescent="0.35">
      <c r="A34" s="47" t="s">
        <v>80</v>
      </c>
      <c r="B34" s="13"/>
      <c r="C34" s="13"/>
      <c r="D34" s="8">
        <f>PARÁMETROS!C9</f>
        <v>18</v>
      </c>
      <c r="E34" s="8">
        <f>PARÁMETROS!C9</f>
        <v>18</v>
      </c>
      <c r="F34" s="48">
        <f>MAX(F6:F33)</f>
        <v>18</v>
      </c>
      <c r="G34" s="49"/>
    </row>
  </sheetData>
  <mergeCells count="12">
    <mergeCell ref="A24:G24"/>
    <mergeCell ref="A2:G2"/>
    <mergeCell ref="A16:G16"/>
    <mergeCell ref="A30:G30"/>
    <mergeCell ref="A34:C34"/>
    <mergeCell ref="A11:G11"/>
    <mergeCell ref="A14:G14"/>
    <mergeCell ref="A1:G1"/>
    <mergeCell ref="A3:G3"/>
    <mergeCell ref="A6:G6"/>
    <mergeCell ref="A22:G22"/>
    <mergeCell ref="A20:G20"/>
  </mergeCells>
  <dataValidations count="1">
    <dataValidation type="decimal" errorTitle="Valor no válido" error="Introduzca un valor entre 0 y 1 (ej. 0.75 para 75%)" sqref="G6:G33" xr:uid="{00000000-0002-0000-01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3"/>
  <sheetViews>
    <sheetView showGridLines="0" tabSelected="1" zoomScaleNormal="100" workbookViewId="0">
      <selection sqref="A1:AO1"/>
    </sheetView>
  </sheetViews>
  <sheetFormatPr baseColWidth="10" defaultColWidth="8.7109375" defaultRowHeight="15" customHeight="1" x14ac:dyDescent="0.25"/>
  <cols>
    <col min="1" max="1" width="4" customWidth="1"/>
    <col min="2" max="2" width="19" customWidth="1"/>
    <col min="3" max="3" width="34" customWidth="1"/>
    <col min="4" max="4" width="6" customWidth="1"/>
    <col min="5" max="5" width="7" customWidth="1"/>
    <col min="6" max="41" width="3.140625" customWidth="1"/>
  </cols>
  <sheetData>
    <row r="1" spans="1:41" ht="25.5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</row>
    <row r="2" spans="1:41" ht="15.75" customHeight="1" x14ac:dyDescent="0.35">
      <c r="A2" s="21" t="str">
        <f>PARÁMETROS!C5</f>
        <v>MEJORA CARRETERA GUADALMAR, MÁLAGA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</row>
    <row r="3" spans="1:41" ht="18" customHeight="1" x14ac:dyDescent="0.35">
      <c r="A3" s="50" t="s">
        <v>1</v>
      </c>
      <c r="B3" s="13"/>
      <c r="C3" s="13"/>
      <c r="D3" s="13"/>
      <c r="E3" s="13"/>
      <c r="F3" s="51">
        <f>PARÁMETROS!C9</f>
        <v>18</v>
      </c>
      <c r="G3" s="52" t="s">
        <v>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ht="13.5" customHeight="1" x14ac:dyDescent="0.35">
      <c r="A4" s="5"/>
      <c r="B4" s="5"/>
      <c r="C4" s="5"/>
      <c r="D4" s="5"/>
      <c r="E4" s="5"/>
      <c r="F4" s="53" t="s">
        <v>3</v>
      </c>
      <c r="G4" s="13"/>
      <c r="H4" s="13"/>
      <c r="I4" s="5"/>
      <c r="J4" s="54" t="s">
        <v>4</v>
      </c>
      <c r="K4" s="13"/>
      <c r="L4" s="13"/>
      <c r="M4" s="5"/>
      <c r="N4" s="55" t="s">
        <v>5</v>
      </c>
      <c r="O4" s="13"/>
      <c r="P4" s="13"/>
      <c r="Q4" s="5"/>
      <c r="R4" s="56" t="s">
        <v>6</v>
      </c>
      <c r="S4" s="13"/>
      <c r="T4" s="13"/>
      <c r="U4" s="5"/>
      <c r="V4" s="57" t="s">
        <v>7</v>
      </c>
      <c r="W4" s="13"/>
      <c r="X4" s="13"/>
      <c r="Y4" s="5"/>
      <c r="Z4" s="58" t="s">
        <v>8</v>
      </c>
      <c r="AA4" s="13"/>
      <c r="AB4" s="13"/>
      <c r="AC4" s="5"/>
      <c r="AD4" s="59" t="s">
        <v>9</v>
      </c>
      <c r="AE4" s="13"/>
      <c r="AF4" s="13"/>
      <c r="AG4" s="5"/>
      <c r="AH4" s="60" t="s">
        <v>10</v>
      </c>
      <c r="AI4" s="13"/>
      <c r="AJ4" s="13"/>
      <c r="AK4" s="5"/>
      <c r="AL4" s="5"/>
      <c r="AM4" s="5"/>
      <c r="AN4" s="5"/>
      <c r="AO4" s="5"/>
    </row>
    <row r="5" spans="1:41" ht="6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ht="19.5" customHeight="1" x14ac:dyDescent="0.25">
      <c r="A6" s="61" t="s">
        <v>11</v>
      </c>
      <c r="B6" s="61" t="s">
        <v>12</v>
      </c>
      <c r="C6" s="61" t="s">
        <v>13</v>
      </c>
      <c r="D6" s="61" t="s">
        <v>14</v>
      </c>
      <c r="E6" s="61" t="s">
        <v>15</v>
      </c>
      <c r="F6" s="62">
        <v>1</v>
      </c>
      <c r="G6" s="62">
        <v>2</v>
      </c>
      <c r="H6" s="62">
        <v>3</v>
      </c>
      <c r="I6" s="62">
        <v>4</v>
      </c>
      <c r="J6" s="62">
        <v>5</v>
      </c>
      <c r="K6" s="62">
        <v>6</v>
      </c>
      <c r="L6" s="62">
        <v>7</v>
      </c>
      <c r="M6" s="62">
        <v>8</v>
      </c>
      <c r="N6" s="62">
        <v>9</v>
      </c>
      <c r="O6" s="62">
        <v>10</v>
      </c>
      <c r="P6" s="62">
        <v>11</v>
      </c>
      <c r="Q6" s="62">
        <v>12</v>
      </c>
      <c r="R6" s="62">
        <v>13</v>
      </c>
      <c r="S6" s="62">
        <v>14</v>
      </c>
      <c r="T6" s="62">
        <v>15</v>
      </c>
      <c r="U6" s="62">
        <v>16</v>
      </c>
      <c r="V6" s="62">
        <v>17</v>
      </c>
      <c r="W6" s="62">
        <v>18</v>
      </c>
      <c r="X6" s="62">
        <v>19</v>
      </c>
      <c r="Y6" s="62">
        <v>20</v>
      </c>
      <c r="Z6" s="62">
        <v>21</v>
      </c>
      <c r="AA6" s="62">
        <v>22</v>
      </c>
      <c r="AB6" s="62">
        <v>23</v>
      </c>
      <c r="AC6" s="62">
        <v>24</v>
      </c>
      <c r="AD6" s="62">
        <v>25</v>
      </c>
      <c r="AE6" s="62">
        <v>26</v>
      </c>
      <c r="AF6" s="62">
        <v>27</v>
      </c>
      <c r="AG6" s="62">
        <v>28</v>
      </c>
      <c r="AH6" s="62">
        <v>29</v>
      </c>
      <c r="AI6" s="62">
        <v>30</v>
      </c>
      <c r="AJ6" s="62">
        <v>31</v>
      </c>
      <c r="AK6" s="62">
        <v>32</v>
      </c>
      <c r="AL6" s="62">
        <v>33</v>
      </c>
      <c r="AM6" s="62">
        <v>34</v>
      </c>
      <c r="AN6" s="62">
        <v>35</v>
      </c>
      <c r="AO6" s="62">
        <v>36</v>
      </c>
    </row>
    <row r="7" spans="1:41" ht="13.5" customHeight="1" x14ac:dyDescent="0.35">
      <c r="A7" s="63" t="s">
        <v>16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1" ht="13.5" customHeight="1" x14ac:dyDescent="0.35">
      <c r="A8" s="64">
        <v>1</v>
      </c>
      <c r="B8" s="65" t="s">
        <v>3</v>
      </c>
      <c r="C8" s="66" t="str">
        <f>'PLAN DE OBRA'!C7</f>
        <v>Demoliciones</v>
      </c>
      <c r="D8" s="67">
        <f>'PLAN DE OBRA'!D7</f>
        <v>1</v>
      </c>
      <c r="E8" s="67">
        <f>'PLAN DE OBRA'!E7</f>
        <v>2</v>
      </c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</row>
    <row r="9" spans="1:41" ht="13.5" customHeight="1" x14ac:dyDescent="0.35">
      <c r="A9" s="69">
        <v>2</v>
      </c>
      <c r="B9" s="65" t="s">
        <v>3</v>
      </c>
      <c r="C9" s="70" t="str">
        <f>'PLAN DE OBRA'!C8</f>
        <v>Movimiento de tierras</v>
      </c>
      <c r="D9" s="67">
        <f>'PLAN DE OBRA'!D8</f>
        <v>1</v>
      </c>
      <c r="E9" s="67">
        <f>'PLAN DE OBRA'!E8</f>
        <v>8</v>
      </c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</row>
    <row r="10" spans="1:41" ht="13.5" customHeight="1" x14ac:dyDescent="0.35">
      <c r="A10" s="64">
        <v>3</v>
      </c>
      <c r="B10" s="65" t="s">
        <v>3</v>
      </c>
      <c r="C10" s="66" t="str">
        <f>'PLAN DE OBRA'!C9</f>
        <v>Muro de contención</v>
      </c>
      <c r="D10" s="67">
        <f>'PLAN DE OBRA'!D9</f>
        <v>3</v>
      </c>
      <c r="E10" s="67">
        <f>'PLAN DE OBRA'!E9</f>
        <v>4</v>
      </c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</row>
    <row r="11" spans="1:41" ht="13.5" customHeight="1" x14ac:dyDescent="0.35">
      <c r="A11" s="69">
        <v>4</v>
      </c>
      <c r="B11" s="65" t="s">
        <v>3</v>
      </c>
      <c r="C11" s="70" t="str">
        <f>'PLAN DE OBRA'!C10</f>
        <v>Firmes y pavimentos</v>
      </c>
      <c r="D11" s="67">
        <f>'PLAN DE OBRA'!D10</f>
        <v>9</v>
      </c>
      <c r="E11" s="67">
        <f>'PLAN DE OBRA'!E10</f>
        <v>7</v>
      </c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</row>
    <row r="12" spans="1:41" ht="13.5" customHeight="1" x14ac:dyDescent="0.35">
      <c r="A12" s="72" t="s">
        <v>17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1" ht="13.5" customHeight="1" x14ac:dyDescent="0.35">
      <c r="A13" s="64">
        <v>5</v>
      </c>
      <c r="B13" s="73" t="s">
        <v>4</v>
      </c>
      <c r="C13" s="66" t="str">
        <f>'PLAN DE OBRA'!C12</f>
        <v>Red saneamiento aguas pluviales</v>
      </c>
      <c r="D13" s="67">
        <f>'PLAN DE OBRA'!D12</f>
        <v>4</v>
      </c>
      <c r="E13" s="67">
        <f>'PLAN DE OBRA'!E12</f>
        <v>8</v>
      </c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</row>
    <row r="14" spans="1:41" ht="13.5" customHeight="1" x14ac:dyDescent="0.35">
      <c r="A14" s="69">
        <v>6</v>
      </c>
      <c r="B14" s="73" t="s">
        <v>4</v>
      </c>
      <c r="C14" s="70" t="str">
        <f>'PLAN DE OBRA'!C13</f>
        <v>Red saneamiento aguas fecales</v>
      </c>
      <c r="D14" s="67">
        <f>'PLAN DE OBRA'!D13</f>
        <v>6</v>
      </c>
      <c r="E14" s="67">
        <f>'PLAN DE OBRA'!E13</f>
        <v>7</v>
      </c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</row>
    <row r="15" spans="1:41" ht="13.5" customHeight="1" x14ac:dyDescent="0.35">
      <c r="A15" s="74" t="s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spans="1:41" ht="13.5" customHeight="1" x14ac:dyDescent="0.35">
      <c r="A16" s="64">
        <v>7</v>
      </c>
      <c r="B16" s="75" t="s">
        <v>5</v>
      </c>
      <c r="C16" s="66" t="str">
        <f>'PLAN DE OBRA'!C15</f>
        <v>Red de agua potable</v>
      </c>
      <c r="D16" s="67">
        <f>'PLAN DE OBRA'!D15</f>
        <v>10</v>
      </c>
      <c r="E16" s="67">
        <f>'PLAN DE OBRA'!E15</f>
        <v>5</v>
      </c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</row>
    <row r="17" spans="1:41" ht="13.5" customHeight="1" x14ac:dyDescent="0.35">
      <c r="A17" s="76" t="s">
        <v>19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 spans="1:41" ht="13.5" customHeight="1" x14ac:dyDescent="0.35">
      <c r="A18" s="69">
        <v>8</v>
      </c>
      <c r="B18" s="77" t="s">
        <v>6</v>
      </c>
      <c r="C18" s="70" t="str">
        <f>'PLAN DE OBRA'!C17</f>
        <v>Red de media tensión</v>
      </c>
      <c r="D18" s="67">
        <f>'PLAN DE OBRA'!D17</f>
        <v>12</v>
      </c>
      <c r="E18" s="67">
        <f>'PLAN DE OBRA'!E17</f>
        <v>6</v>
      </c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</row>
    <row r="19" spans="1:41" ht="13.5" customHeight="1" x14ac:dyDescent="0.35">
      <c r="A19" s="64">
        <v>9</v>
      </c>
      <c r="B19" s="77" t="s">
        <v>6</v>
      </c>
      <c r="C19" s="66" t="str">
        <f>'PLAN DE OBRA'!C18</f>
        <v>Red de baja tensión</v>
      </c>
      <c r="D19" s="67">
        <f>'PLAN DE OBRA'!D18</f>
        <v>13</v>
      </c>
      <c r="E19" s="67">
        <f>'PLAN DE OBRA'!E18</f>
        <v>3</v>
      </c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</row>
    <row r="20" spans="1:41" ht="13.5" customHeight="1" x14ac:dyDescent="0.35">
      <c r="A20" s="69">
        <v>10</v>
      </c>
      <c r="B20" s="77" t="s">
        <v>6</v>
      </c>
      <c r="C20" s="70" t="str">
        <f>'PLAN DE OBRA'!C19</f>
        <v>Red de alumbrado público</v>
      </c>
      <c r="D20" s="67">
        <f>'PLAN DE OBRA'!D19</f>
        <v>15</v>
      </c>
      <c r="E20" s="67">
        <f>'PLAN DE OBRA'!E19</f>
        <v>3</v>
      </c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</row>
    <row r="21" spans="1:41" ht="13.5" customHeight="1" x14ac:dyDescent="0.35">
      <c r="A21" s="78" t="s">
        <v>20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</row>
    <row r="22" spans="1:41" ht="13.5" customHeight="1" x14ac:dyDescent="0.35">
      <c r="A22" s="64">
        <v>11</v>
      </c>
      <c r="B22" s="79" t="s">
        <v>7</v>
      </c>
      <c r="C22" s="66" t="str">
        <f>'PLAN DE OBRA'!C21</f>
        <v>Red de telecomunicaciones</v>
      </c>
      <c r="D22" s="67">
        <f>'PLAN DE OBRA'!D21</f>
        <v>13</v>
      </c>
      <c r="E22" s="67">
        <f>'PLAN DE OBRA'!E21</f>
        <v>5</v>
      </c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</row>
    <row r="23" spans="1:41" ht="13.5" customHeight="1" x14ac:dyDescent="0.35">
      <c r="A23" s="80" t="s">
        <v>21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spans="1:41" ht="13.5" customHeight="1" x14ac:dyDescent="0.35">
      <c r="A24" s="69">
        <v>12</v>
      </c>
      <c r="B24" s="81" t="s">
        <v>8</v>
      </c>
      <c r="C24" s="70" t="str">
        <f>'PLAN DE OBRA'!C23</f>
        <v>Red de gas natural</v>
      </c>
      <c r="D24" s="67">
        <f>'PLAN DE OBRA'!D23</f>
        <v>13</v>
      </c>
      <c r="E24" s="67">
        <f>'PLAN DE OBRA'!E23</f>
        <v>3</v>
      </c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</row>
    <row r="25" spans="1:41" ht="13.5" customHeight="1" x14ac:dyDescent="0.35">
      <c r="A25" s="82" t="s">
        <v>22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</row>
    <row r="26" spans="1:41" ht="13.5" customHeight="1" x14ac:dyDescent="0.35">
      <c r="A26" s="64">
        <v>13</v>
      </c>
      <c r="B26" s="83" t="s">
        <v>9</v>
      </c>
      <c r="C26" s="66" t="str">
        <f>'PLAN DE OBRA'!C25</f>
        <v>Red de riego</v>
      </c>
      <c r="D26" s="67">
        <f>'PLAN DE OBRA'!D25</f>
        <v>12</v>
      </c>
      <c r="E26" s="67">
        <f>'PLAN DE OBRA'!E25</f>
        <v>3</v>
      </c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</row>
    <row r="27" spans="1:41" ht="13.5" customHeight="1" x14ac:dyDescent="0.35">
      <c r="A27" s="69">
        <v>14</v>
      </c>
      <c r="B27" s="83" t="s">
        <v>9</v>
      </c>
      <c r="C27" s="70" t="str">
        <f>'PLAN DE OBRA'!C26</f>
        <v>Jardinería</v>
      </c>
      <c r="D27" s="67">
        <f>'PLAN DE OBRA'!D26</f>
        <v>12</v>
      </c>
      <c r="E27" s="67">
        <f>'PLAN DE OBRA'!E26</f>
        <v>7</v>
      </c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</row>
    <row r="28" spans="1:41" ht="13.5" customHeight="1" x14ac:dyDescent="0.35">
      <c r="A28" s="64">
        <v>15</v>
      </c>
      <c r="B28" s="83" t="s">
        <v>9</v>
      </c>
      <c r="C28" s="66" t="str">
        <f>'PLAN DE OBRA'!C27</f>
        <v>Mobiliario urbano</v>
      </c>
      <c r="D28" s="67">
        <f>'PLAN DE OBRA'!D27</f>
        <v>13</v>
      </c>
      <c r="E28" s="67">
        <f>'PLAN DE OBRA'!E27</f>
        <v>5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</row>
    <row r="29" spans="1:41" ht="13.5" customHeight="1" x14ac:dyDescent="0.35">
      <c r="A29" s="69">
        <v>16</v>
      </c>
      <c r="B29" s="83" t="s">
        <v>9</v>
      </c>
      <c r="C29" s="70" t="str">
        <f>'PLAN DE OBRA'!C28</f>
        <v>Residuos sólidos urbanos (RSU)</v>
      </c>
      <c r="D29" s="67">
        <f>'PLAN DE OBRA'!D28</f>
        <v>15</v>
      </c>
      <c r="E29" s="67">
        <f>'PLAN DE OBRA'!E28</f>
        <v>1</v>
      </c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</row>
    <row r="30" spans="1:41" ht="13.5" customHeight="1" x14ac:dyDescent="0.35">
      <c r="A30" s="64">
        <v>17</v>
      </c>
      <c r="B30" s="83" t="s">
        <v>9</v>
      </c>
      <c r="C30" s="66" t="str">
        <f>'PLAN DE OBRA'!C29</f>
        <v>Señalización horizontal y vertical</v>
      </c>
      <c r="D30" s="67">
        <f>'PLAN DE OBRA'!D29</f>
        <v>16</v>
      </c>
      <c r="E30" s="67">
        <f>'PLAN DE OBRA'!E29</f>
        <v>2</v>
      </c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</row>
    <row r="31" spans="1:41" ht="13.5" customHeight="1" x14ac:dyDescent="0.35">
      <c r="A31" s="84" t="s">
        <v>23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</row>
    <row r="32" spans="1:41" ht="13.5" customHeight="1" x14ac:dyDescent="0.35">
      <c r="A32" s="69">
        <v>18</v>
      </c>
      <c r="B32" s="85" t="s">
        <v>10</v>
      </c>
      <c r="C32" s="70" t="str">
        <f>'PLAN DE OBRA'!C31</f>
        <v>Control de calidad</v>
      </c>
      <c r="D32" s="67">
        <f>'PLAN DE OBRA'!D31</f>
        <v>1</v>
      </c>
      <c r="E32" s="67">
        <f>'PLAN DE OBRA'!E31</f>
        <v>18</v>
      </c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</row>
    <row r="33" spans="1:41" ht="13.5" customHeight="1" x14ac:dyDescent="0.35">
      <c r="A33" s="64">
        <v>19</v>
      </c>
      <c r="B33" s="85" t="s">
        <v>10</v>
      </c>
      <c r="C33" s="66" t="str">
        <f>'PLAN DE OBRA'!C32</f>
        <v>Legalización y recepción de obras</v>
      </c>
      <c r="D33" s="67">
        <f>'PLAN DE OBRA'!D32</f>
        <v>12</v>
      </c>
      <c r="E33" s="67">
        <f>'PLAN DE OBRA'!E32</f>
        <v>7</v>
      </c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</row>
  </sheetData>
  <mergeCells count="19">
    <mergeCell ref="V4:X4"/>
    <mergeCell ref="A17:AO17"/>
    <mergeCell ref="AH4:AJ4"/>
    <mergeCell ref="A31:AO31"/>
    <mergeCell ref="J4:L4"/>
    <mergeCell ref="A15:AO15"/>
    <mergeCell ref="A1:AO1"/>
    <mergeCell ref="Z4:AB4"/>
    <mergeCell ref="A3:E3"/>
    <mergeCell ref="A25:AO25"/>
    <mergeCell ref="A7:AO7"/>
    <mergeCell ref="AD4:AF4"/>
    <mergeCell ref="F4:H4"/>
    <mergeCell ref="N4:P4"/>
    <mergeCell ref="A21:AO21"/>
    <mergeCell ref="A12:AO12"/>
    <mergeCell ref="A2:AO2"/>
    <mergeCell ref="R4:T4"/>
    <mergeCell ref="A23:AO23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AND(F$6&gt;=$D8,F$6&lt;=$D8+$E8-1,F$6&lt;=PARÁMETROS!$C$9)</xm:f>
            <x14:dxf>
              <font>
                <color rgb="FF4472C4"/>
                <name val="Arial"/>
                <charset val="1"/>
              </font>
              <fill>
                <patternFill>
                  <bgColor rgb="FF4472C4"/>
                </patternFill>
              </fill>
            </x14:dxf>
          </x14:cfRule>
          <x14:cfRule type="expression" priority="3" id="{00000000-000E-0000-0200-000003000000}">
            <xm:f>F$6&gt;PARÁMETROS!$C$9</xm:f>
            <x14:dxf>
              <fill>
                <patternFill>
                  <bgColor rgb="FFF0F0F0"/>
                </patternFill>
              </fill>
            </x14:dxf>
          </x14:cfRule>
          <xm:sqref>F8:AO11</xm:sqref>
        </x14:conditionalFormatting>
        <x14:conditionalFormatting xmlns:xm="http://schemas.microsoft.com/office/excel/2006/main">
          <x14:cfRule type="expression" priority="10" id="{00000000-000E-0000-0200-00000A000000}">
            <xm:f>AND(F$6&gt;=$D13,F$6&lt;=$D13+$E13-1,F$6&lt;=PARÁMETROS!$C$9)</xm:f>
            <x14:dxf>
              <font>
                <color rgb="FF70AD47"/>
                <name val="Arial"/>
                <charset val="1"/>
              </font>
              <fill>
                <patternFill>
                  <bgColor rgb="FF70AD47"/>
                </patternFill>
              </fill>
            </x14:dxf>
          </x14:cfRule>
          <x14:cfRule type="expression" priority="11" id="{00000000-000E-0000-0200-00000B000000}">
            <xm:f>F$6&gt;PARÁMETROS!$C$9</xm:f>
            <x14:dxf>
              <fill>
                <patternFill>
                  <bgColor rgb="FFF0F0F0"/>
                </patternFill>
              </fill>
            </x14:dxf>
          </x14:cfRule>
          <xm:sqref>F13:AO14</xm:sqref>
        </x14:conditionalFormatting>
        <x14:conditionalFormatting xmlns:xm="http://schemas.microsoft.com/office/excel/2006/main">
          <x14:cfRule type="expression" priority="14" id="{00000000-000E-0000-0200-00000E000000}">
            <xm:f>AND(F$6&gt;=$D16,F$6&lt;=$D16+$E16-1,F$6&lt;=PARÁMETROS!$C$9)</xm:f>
            <x14:dxf>
              <font>
                <color rgb="FF00B0F0"/>
                <name val="Arial"/>
                <charset val="1"/>
              </font>
              <fill>
                <patternFill>
                  <bgColor rgb="FF00B0F0"/>
                </patternFill>
              </fill>
            </x14:dxf>
          </x14:cfRule>
          <x14:cfRule type="expression" priority="15" id="{00000000-000E-0000-0200-00000F000000}">
            <xm:f>F$6&gt;PARÁMETROS!$C$9</xm:f>
            <x14:dxf>
              <fill>
                <patternFill>
                  <bgColor rgb="FFF0F0F0"/>
                </patternFill>
              </fill>
            </x14:dxf>
          </x14:cfRule>
          <xm:sqref>F16:AO16</xm:sqref>
        </x14:conditionalFormatting>
        <x14:conditionalFormatting xmlns:xm="http://schemas.microsoft.com/office/excel/2006/main">
          <x14:cfRule type="expression" priority="16" id="{00000000-000E-0000-0200-000010000000}">
            <xm:f>AND(F$6&gt;=$D18,F$6&lt;=$D18+$E18-1,F$6&lt;=PARÁMETROS!$C$9)</xm:f>
            <x14:dxf>
              <font>
                <color rgb="FFFF7C00"/>
                <name val="Arial"/>
                <charset val="1"/>
              </font>
              <fill>
                <patternFill>
                  <bgColor rgb="FFFF7C00"/>
                </patternFill>
              </fill>
            </x14:dxf>
          </x14:cfRule>
          <x14:cfRule type="expression" priority="17" id="{00000000-000E-0000-0200-000011000000}">
            <xm:f>F$6&gt;PARÁMETROS!$C$9</xm:f>
            <x14:dxf>
              <fill>
                <patternFill>
                  <bgColor rgb="FFF0F0F0"/>
                </patternFill>
              </fill>
            </x14:dxf>
          </x14:cfRule>
          <xm:sqref>F18:AO20</xm:sqref>
        </x14:conditionalFormatting>
        <x14:conditionalFormatting xmlns:xm="http://schemas.microsoft.com/office/excel/2006/main">
          <x14:cfRule type="expression" priority="22" id="{00000000-000E-0000-0200-000016000000}">
            <xm:f>AND(F$6&gt;=$D22,F$6&lt;=$D22+$E22-1,F$6&lt;=PARÁMETROS!$C$9)</xm:f>
            <x14:dxf>
              <font>
                <color rgb="FF7030A0"/>
                <name val="Arial"/>
                <charset val="1"/>
              </font>
              <fill>
                <patternFill>
                  <bgColor rgb="FF7030A0"/>
                </patternFill>
              </fill>
            </x14:dxf>
          </x14:cfRule>
          <x14:cfRule type="expression" priority="23" id="{00000000-000E-0000-0200-000017000000}">
            <xm:f>F$6&gt;PARÁMETROS!$C$9</xm:f>
            <x14:dxf>
              <fill>
                <patternFill>
                  <bgColor rgb="FFF0F0F0"/>
                </patternFill>
              </fill>
            </x14:dxf>
          </x14:cfRule>
          <xm:sqref>F22:AO22</xm:sqref>
        </x14:conditionalFormatting>
        <x14:conditionalFormatting xmlns:xm="http://schemas.microsoft.com/office/excel/2006/main">
          <x14:cfRule type="expression" priority="24" id="{00000000-000E-0000-0200-000018000000}">
            <xm:f>AND(F$6&gt;=$D24,F$6&lt;=$D24+$E24-1,F$6&lt;=PARÁMETROS!$C$9)</xm:f>
            <x14:dxf>
              <font>
                <color rgb="FFFFC000"/>
                <name val="Arial"/>
                <charset val="1"/>
              </font>
              <fill>
                <patternFill>
                  <bgColor rgb="FFFFC000"/>
                </patternFill>
              </fill>
            </x14:dxf>
          </x14:cfRule>
          <x14:cfRule type="expression" priority="25" id="{00000000-000E-0000-0200-000019000000}">
            <xm:f>F$6&gt;PARÁMETROS!$C$9</xm:f>
            <x14:dxf>
              <fill>
                <patternFill>
                  <bgColor rgb="FFF0F0F0"/>
                </patternFill>
              </fill>
            </x14:dxf>
          </x14:cfRule>
          <xm:sqref>F24:AO24</xm:sqref>
        </x14:conditionalFormatting>
        <x14:conditionalFormatting xmlns:xm="http://schemas.microsoft.com/office/excel/2006/main">
          <x14:cfRule type="expression" priority="26" id="{00000000-000E-0000-0200-00001A000000}">
            <xm:f>AND(F$6&gt;=$D26,F$6&lt;=$D26+$E26-1,F$6&lt;=PARÁMETROS!$C$9)</xm:f>
            <x14:dxf>
              <font>
                <color rgb="FF92D050"/>
                <name val="Arial"/>
                <charset val="1"/>
              </font>
              <fill>
                <patternFill>
                  <bgColor rgb="FF92D050"/>
                </patternFill>
              </fill>
            </x14:dxf>
          </x14:cfRule>
          <x14:cfRule type="expression" priority="27" id="{00000000-000E-0000-0200-00001B000000}">
            <xm:f>F$6&gt;PARÁMETROS!$C$9</xm:f>
            <x14:dxf>
              <fill>
                <patternFill>
                  <bgColor rgb="FFF0F0F0"/>
                </patternFill>
              </fill>
            </x14:dxf>
          </x14:cfRule>
          <xm:sqref>F26:AO30</xm:sqref>
        </x14:conditionalFormatting>
        <x14:conditionalFormatting xmlns:xm="http://schemas.microsoft.com/office/excel/2006/main">
          <x14:cfRule type="expression" priority="36" id="{00000000-000E-0000-0200-000024000000}">
            <xm:f>AND(F$6&gt;=$D32,F$6&lt;=$D32+$E32-1,F$6&lt;=PARÁMETROS!$C$9)</xm:f>
            <x14:dxf>
              <font>
                <color rgb="FFA5A5A5"/>
                <name val="Arial"/>
                <charset val="1"/>
              </font>
              <fill>
                <patternFill>
                  <bgColor rgb="FFA5A5A5"/>
                </patternFill>
              </fill>
            </x14:dxf>
          </x14:cfRule>
          <x14:cfRule type="expression" priority="37" id="{00000000-000E-0000-0200-000025000000}">
            <xm:f>F$6&gt;PARÁMETROS!$C$9</xm:f>
            <x14:dxf>
              <fill>
                <patternFill>
                  <bgColor rgb="FFF0F0F0"/>
                </patternFill>
              </fill>
            </x14:dxf>
          </x14:cfRule>
          <xm:sqref>F32:AO33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6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40" customWidth="1"/>
    <col min="3" max="38" width="7" customWidth="1"/>
  </cols>
  <sheetData>
    <row r="1" spans="1:38" ht="25.5" customHeight="1" x14ac:dyDescent="0.35">
      <c r="A1" s="86" t="s">
        <v>81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36" customHeight="1" x14ac:dyDescent="0.35">
      <c r="A2" s="87" t="s">
        <v>82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</row>
    <row r="3" spans="1:38" ht="1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ht="18" customHeight="1" x14ac:dyDescent="0.35">
      <c r="A4" s="21" t="s">
        <v>83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</row>
    <row r="5" spans="1:38" ht="24" customHeight="1" x14ac:dyDescent="0.35">
      <c r="A5" s="5"/>
      <c r="B5" s="23" t="s">
        <v>84</v>
      </c>
      <c r="C5" s="61" t="s">
        <v>85</v>
      </c>
      <c r="D5" s="61" t="s">
        <v>86</v>
      </c>
      <c r="E5" s="61" t="s">
        <v>87</v>
      </c>
      <c r="F5" s="61" t="s">
        <v>88</v>
      </c>
      <c r="G5" s="61" t="s">
        <v>89</v>
      </c>
      <c r="H5" s="61" t="s">
        <v>90</v>
      </c>
      <c r="I5" s="61" t="s">
        <v>91</v>
      </c>
      <c r="J5" s="61" t="s">
        <v>92</v>
      </c>
      <c r="K5" s="61" t="s">
        <v>93</v>
      </c>
      <c r="L5" s="61" t="s">
        <v>94</v>
      </c>
      <c r="M5" s="61" t="s">
        <v>95</v>
      </c>
      <c r="N5" s="61" t="s">
        <v>96</v>
      </c>
      <c r="O5" s="61" t="s">
        <v>97</v>
      </c>
      <c r="P5" s="61" t="s">
        <v>98</v>
      </c>
      <c r="Q5" s="61" t="s">
        <v>99</v>
      </c>
      <c r="R5" s="61" t="s">
        <v>100</v>
      </c>
      <c r="S5" s="61" t="s">
        <v>101</v>
      </c>
      <c r="T5" s="61" t="s">
        <v>102</v>
      </c>
      <c r="U5" s="61" t="s">
        <v>103</v>
      </c>
      <c r="V5" s="61" t="s">
        <v>104</v>
      </c>
      <c r="W5" s="61" t="s">
        <v>105</v>
      </c>
      <c r="X5" s="61" t="s">
        <v>106</v>
      </c>
      <c r="Y5" s="61" t="s">
        <v>107</v>
      </c>
      <c r="Z5" s="61" t="s">
        <v>108</v>
      </c>
      <c r="AA5" s="61" t="s">
        <v>109</v>
      </c>
      <c r="AB5" s="61" t="s">
        <v>110</v>
      </c>
      <c r="AC5" s="61" t="s">
        <v>111</v>
      </c>
      <c r="AD5" s="61" t="s">
        <v>112</v>
      </c>
      <c r="AE5" s="61" t="s">
        <v>113</v>
      </c>
      <c r="AF5" s="61" t="s">
        <v>114</v>
      </c>
      <c r="AG5" s="61" t="s">
        <v>115</v>
      </c>
      <c r="AH5" s="61" t="s">
        <v>116</v>
      </c>
      <c r="AI5" s="61" t="s">
        <v>117</v>
      </c>
      <c r="AJ5" s="61" t="s">
        <v>118</v>
      </c>
      <c r="AK5" s="61" t="s">
        <v>119</v>
      </c>
      <c r="AL5" s="61" t="s">
        <v>120</v>
      </c>
    </row>
    <row r="6" spans="1:38" ht="15.75" customHeight="1" x14ac:dyDescent="0.35">
      <c r="A6" s="5"/>
      <c r="B6" s="26" t="s">
        <v>3</v>
      </c>
      <c r="C6" s="88">
        <v>73273.06</v>
      </c>
      <c r="D6" s="88">
        <v>73273.06</v>
      </c>
      <c r="E6" s="88">
        <v>56209.64</v>
      </c>
      <c r="F6" s="88">
        <v>56209.64</v>
      </c>
      <c r="G6" s="88">
        <v>56209.64</v>
      </c>
      <c r="H6" s="88">
        <v>56209.64</v>
      </c>
      <c r="I6" s="88">
        <v>56209.64</v>
      </c>
      <c r="J6" s="88">
        <v>56209.64</v>
      </c>
      <c r="K6" s="88">
        <v>307642.53000000003</v>
      </c>
      <c r="L6" s="88">
        <v>307642.53000000003</v>
      </c>
      <c r="M6" s="88">
        <v>307642.53000000003</v>
      </c>
      <c r="N6" s="88">
        <v>307642.53000000003</v>
      </c>
      <c r="O6" s="88">
        <v>307642.53000000003</v>
      </c>
      <c r="P6" s="88">
        <v>307642.53000000003</v>
      </c>
      <c r="Q6" s="88">
        <v>307642.53000000003</v>
      </c>
      <c r="R6" s="88">
        <v>0</v>
      </c>
      <c r="S6" s="88">
        <v>0</v>
      </c>
      <c r="T6" s="88">
        <v>0</v>
      </c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</row>
    <row r="7" spans="1:38" ht="15.75" customHeight="1" x14ac:dyDescent="0.35">
      <c r="A7" s="5"/>
      <c r="B7" s="34" t="s">
        <v>4</v>
      </c>
      <c r="C7" s="89">
        <v>0</v>
      </c>
      <c r="D7" s="89">
        <v>0</v>
      </c>
      <c r="E7" s="89">
        <v>0</v>
      </c>
      <c r="F7" s="89">
        <v>53661.4</v>
      </c>
      <c r="G7" s="89">
        <v>53661.4</v>
      </c>
      <c r="H7" s="89">
        <v>66862.210000000006</v>
      </c>
      <c r="I7" s="89">
        <v>66862.210000000006</v>
      </c>
      <c r="J7" s="89">
        <v>66862.210000000006</v>
      </c>
      <c r="K7" s="89">
        <v>66862.210000000006</v>
      </c>
      <c r="L7" s="89">
        <v>66862.210000000006</v>
      </c>
      <c r="M7" s="89">
        <v>66862.210000000006</v>
      </c>
      <c r="N7" s="89">
        <v>13200.81</v>
      </c>
      <c r="O7" s="89">
        <v>0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</row>
    <row r="8" spans="1:38" ht="15.75" customHeight="1" x14ac:dyDescent="0.35">
      <c r="A8" s="5"/>
      <c r="B8" s="36" t="s">
        <v>5</v>
      </c>
      <c r="C8" s="88">
        <v>0</v>
      </c>
      <c r="D8" s="88">
        <v>0</v>
      </c>
      <c r="E8" s="88">
        <v>0</v>
      </c>
      <c r="F8" s="88">
        <v>0</v>
      </c>
      <c r="G8" s="88">
        <v>0</v>
      </c>
      <c r="H8" s="88">
        <v>0</v>
      </c>
      <c r="I8" s="88">
        <v>0</v>
      </c>
      <c r="J8" s="88">
        <v>0</v>
      </c>
      <c r="K8" s="88">
        <v>0</v>
      </c>
      <c r="L8" s="88">
        <v>34729.39</v>
      </c>
      <c r="M8" s="88">
        <v>34729.39</v>
      </c>
      <c r="N8" s="88">
        <v>34729.39</v>
      </c>
      <c r="O8" s="88">
        <v>34729.39</v>
      </c>
      <c r="P8" s="88">
        <v>34729.39</v>
      </c>
      <c r="Q8" s="88">
        <v>0</v>
      </c>
      <c r="R8" s="88">
        <v>0</v>
      </c>
      <c r="S8" s="88">
        <v>0</v>
      </c>
      <c r="T8" s="88">
        <v>0</v>
      </c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</row>
    <row r="9" spans="1:38" ht="15.75" customHeight="1" x14ac:dyDescent="0.35">
      <c r="A9" s="5"/>
      <c r="B9" s="38" t="s">
        <v>6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</row>
    <row r="10" spans="1:38" ht="15.75" customHeight="1" x14ac:dyDescent="0.35">
      <c r="A10" s="5"/>
      <c r="B10" s="40" t="s">
        <v>7</v>
      </c>
      <c r="C10" s="88">
        <v>0</v>
      </c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v>0</v>
      </c>
      <c r="J10" s="88">
        <v>0</v>
      </c>
      <c r="K10" s="88">
        <v>0</v>
      </c>
      <c r="L10" s="88">
        <v>0</v>
      </c>
      <c r="M10" s="88">
        <v>0</v>
      </c>
      <c r="N10" s="88">
        <v>0</v>
      </c>
      <c r="O10" s="88">
        <v>0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</row>
    <row r="11" spans="1:38" ht="15.75" customHeight="1" x14ac:dyDescent="0.35">
      <c r="A11" s="5"/>
      <c r="B11" s="42" t="s">
        <v>8</v>
      </c>
      <c r="C11" s="89">
        <v>0</v>
      </c>
      <c r="D11" s="89">
        <v>0</v>
      </c>
      <c r="E11" s="89">
        <v>0</v>
      </c>
      <c r="F11" s="89">
        <v>0</v>
      </c>
      <c r="G11" s="89">
        <v>0</v>
      </c>
      <c r="H11" s="89">
        <v>0</v>
      </c>
      <c r="I11" s="89">
        <v>0</v>
      </c>
      <c r="J11" s="89">
        <v>0</v>
      </c>
      <c r="K11" s="89">
        <v>0</v>
      </c>
      <c r="L11" s="89">
        <v>0</v>
      </c>
      <c r="M11" s="89">
        <v>0</v>
      </c>
      <c r="N11" s="89">
        <v>0</v>
      </c>
      <c r="O11" s="89">
        <v>0</v>
      </c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</row>
    <row r="12" spans="1:38" ht="15.75" customHeight="1" x14ac:dyDescent="0.35">
      <c r="A12" s="5"/>
      <c r="B12" s="44" t="s">
        <v>9</v>
      </c>
      <c r="C12" s="88">
        <v>0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</v>
      </c>
      <c r="J12" s="88">
        <v>0</v>
      </c>
      <c r="K12" s="88">
        <v>0</v>
      </c>
      <c r="L12" s="88">
        <v>0</v>
      </c>
      <c r="M12" s="88">
        <v>0</v>
      </c>
      <c r="N12" s="88">
        <v>33746.81</v>
      </c>
      <c r="O12" s="88">
        <v>42361.43</v>
      </c>
      <c r="P12" s="88">
        <v>42361.43</v>
      </c>
      <c r="Q12" s="88">
        <v>72710.37</v>
      </c>
      <c r="R12" s="88">
        <v>40448.46</v>
      </c>
      <c r="S12" s="88">
        <v>40448.46</v>
      </c>
      <c r="T12" s="88">
        <v>20038.73</v>
      </c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</row>
    <row r="13" spans="1:38" ht="15.75" customHeight="1" x14ac:dyDescent="0.35">
      <c r="A13" s="5"/>
      <c r="B13" s="46" t="s">
        <v>10</v>
      </c>
      <c r="C13" s="89">
        <v>6272.03</v>
      </c>
      <c r="D13" s="89">
        <v>6272.03</v>
      </c>
      <c r="E13" s="89">
        <v>6272.03</v>
      </c>
      <c r="F13" s="89">
        <v>6272.03</v>
      </c>
      <c r="G13" s="89">
        <v>6272.03</v>
      </c>
      <c r="H13" s="89">
        <v>6272.03</v>
      </c>
      <c r="I13" s="89">
        <v>6272.03</v>
      </c>
      <c r="J13" s="89">
        <v>6272.03</v>
      </c>
      <c r="K13" s="89">
        <v>6272.03</v>
      </c>
      <c r="L13" s="89">
        <v>6272.03</v>
      </c>
      <c r="M13" s="89">
        <v>6272.03</v>
      </c>
      <c r="N13" s="89">
        <v>6272.03</v>
      </c>
      <c r="O13" s="89">
        <v>6272.03</v>
      </c>
      <c r="P13" s="89">
        <v>6272.03</v>
      </c>
      <c r="Q13" s="89">
        <v>6272.03</v>
      </c>
      <c r="R13" s="89">
        <v>6272.03</v>
      </c>
      <c r="S13" s="89">
        <v>6272.03</v>
      </c>
      <c r="T13" s="89">
        <v>6272.03</v>
      </c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</row>
    <row r="14" spans="1:38" ht="15.75" customHeight="1" x14ac:dyDescent="0.35">
      <c r="A14" s="5"/>
      <c r="B14" s="90" t="s">
        <v>121</v>
      </c>
      <c r="C14" s="88">
        <v>79545.09</v>
      </c>
      <c r="D14" s="88">
        <v>79545.09</v>
      </c>
      <c r="E14" s="88">
        <v>62481.67</v>
      </c>
      <c r="F14" s="88">
        <v>116143.07</v>
      </c>
      <c r="G14" s="88">
        <v>116143.07</v>
      </c>
      <c r="H14" s="88">
        <v>129343.87</v>
      </c>
      <c r="I14" s="88">
        <v>129343.87</v>
      </c>
      <c r="J14" s="88">
        <v>129343.87</v>
      </c>
      <c r="K14" s="88">
        <v>380776.76</v>
      </c>
      <c r="L14" s="88">
        <v>415506.15</v>
      </c>
      <c r="M14" s="88">
        <v>415506.15</v>
      </c>
      <c r="N14" s="88">
        <v>395591.56</v>
      </c>
      <c r="O14" s="88">
        <v>391005.38</v>
      </c>
      <c r="P14" s="88">
        <v>391005.38</v>
      </c>
      <c r="Q14" s="88">
        <v>386624.93</v>
      </c>
      <c r="R14" s="88">
        <v>46720.49</v>
      </c>
      <c r="S14" s="88">
        <v>46720.49</v>
      </c>
      <c r="T14" s="88">
        <v>26310.76</v>
      </c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</row>
    <row r="15" spans="1:38" ht="15.75" customHeight="1" x14ac:dyDescent="0.35">
      <c r="A15" s="5"/>
      <c r="B15" s="91" t="s">
        <v>122</v>
      </c>
      <c r="C15" s="89">
        <v>79545.09</v>
      </c>
      <c r="D15" s="89">
        <v>159090.18</v>
      </c>
      <c r="E15" s="89">
        <v>221571.85</v>
      </c>
      <c r="F15" s="89">
        <v>337714.92</v>
      </c>
      <c r="G15" s="89">
        <v>453857.99</v>
      </c>
      <c r="H15" s="89">
        <v>583201.86</v>
      </c>
      <c r="I15" s="89">
        <v>712545.73</v>
      </c>
      <c r="J15" s="89">
        <v>841889.6</v>
      </c>
      <c r="K15" s="89">
        <v>1222666.3600000001</v>
      </c>
      <c r="L15" s="89">
        <v>1638172.51</v>
      </c>
      <c r="M15" s="89">
        <v>2053678.66</v>
      </c>
      <c r="N15" s="89">
        <v>2449270.2200000002</v>
      </c>
      <c r="O15" s="89">
        <v>2840275.6</v>
      </c>
      <c r="P15" s="89">
        <v>3231280.98</v>
      </c>
      <c r="Q15" s="89">
        <v>3617905.91</v>
      </c>
      <c r="R15" s="89">
        <v>3664626.4</v>
      </c>
      <c r="S15" s="89">
        <v>3711346.89</v>
      </c>
      <c r="T15" s="89">
        <v>3737657.65</v>
      </c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</row>
    <row r="16" spans="1:38" ht="15.75" customHeight="1" x14ac:dyDescent="0.35">
      <c r="A16" s="5"/>
      <c r="B16" s="91" t="s">
        <v>123</v>
      </c>
      <c r="C16" s="88">
        <v>2.13</v>
      </c>
      <c r="D16" s="88">
        <v>4.26</v>
      </c>
      <c r="E16" s="88">
        <v>5.93</v>
      </c>
      <c r="F16" s="88">
        <v>9.0399999999999991</v>
      </c>
      <c r="G16" s="88">
        <v>12.14</v>
      </c>
      <c r="H16" s="88">
        <v>15.6</v>
      </c>
      <c r="I16" s="88">
        <v>19.059999999999999</v>
      </c>
      <c r="J16" s="88">
        <v>22.52</v>
      </c>
      <c r="K16" s="88">
        <v>32.71</v>
      </c>
      <c r="L16" s="88">
        <v>43.83</v>
      </c>
      <c r="M16" s="88">
        <v>54.95</v>
      </c>
      <c r="N16" s="88">
        <v>65.53</v>
      </c>
      <c r="O16" s="88">
        <v>75.989999999999995</v>
      </c>
      <c r="P16" s="88">
        <v>86.45</v>
      </c>
      <c r="Q16" s="88">
        <v>96.8</v>
      </c>
      <c r="R16" s="88">
        <v>98.05</v>
      </c>
      <c r="S16" s="88">
        <v>99.3</v>
      </c>
      <c r="T16" s="88">
        <v>100</v>
      </c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</row>
  </sheetData>
  <mergeCells count="3">
    <mergeCell ref="A1:AL1"/>
    <mergeCell ref="A4:AL4"/>
    <mergeCell ref="A2:AL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PARÁMETROS</vt:lpstr>
      <vt:lpstr>PLAN DE OBRA</vt:lpstr>
      <vt:lpstr>GANTT</vt:lpstr>
      <vt:lpstr>CERTIFICACIONES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GARPUL</cp:lastModifiedBy>
  <cp:revision>0</cp:revision>
  <dcterms:created xsi:type="dcterms:W3CDTF">2026-03-25T22:06:09Z</dcterms:created>
  <dcterms:modified xsi:type="dcterms:W3CDTF">2026-04-15T18:28:30Z</dcterms:modified>
  <dc:language>en-US</dc:language>
</cp:coreProperties>
</file>