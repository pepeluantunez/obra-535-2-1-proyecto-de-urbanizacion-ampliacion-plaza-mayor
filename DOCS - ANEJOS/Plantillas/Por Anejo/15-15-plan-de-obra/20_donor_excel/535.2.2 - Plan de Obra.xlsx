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PARÁMETROS" sheetId="1" state="visible" r:id="rId1"/>
    <sheet xmlns:r="http://schemas.openxmlformats.org/officeDocument/2006/relationships" name="PLAN DE OBRA" sheetId="2" state="visible" r:id="rId2"/>
    <sheet xmlns:r="http://schemas.openxmlformats.org/officeDocument/2006/relationships" name="GANTT" sheetId="3" state="visible" r:id="rId3"/>
    <sheet xmlns:r="http://schemas.openxmlformats.org/officeDocument/2006/relationships" name="CERTIFICACIONE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2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color rgb="FF595959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i val="1"/>
      <color rgb="FF7F7F7F"/>
      <sz val="8"/>
    </font>
    <font>
      <name val="Arial"/>
      <charset val="1"/>
      <family val="0"/>
      <b val="1"/>
      <color rgb="FFFFFFFF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rgb="FF0000FF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0000FF"/>
      <sz val="11"/>
    </font>
    <font>
      <name val="Arial"/>
      <charset val="1"/>
      <family val="0"/>
      <b val="1"/>
      <color rgb="FF000000"/>
      <sz val="7"/>
    </font>
    <font>
      <name val="Arial"/>
      <charset val="1"/>
      <family val="0"/>
      <b val="1"/>
      <color rgb="FFFFFFFF"/>
      <sz val="8"/>
    </font>
    <font>
      <name val="Arial"/>
      <charset val="1"/>
      <family val="0"/>
      <b val="1"/>
      <color rgb="FFFFFFFF"/>
      <sz val="7"/>
    </font>
    <font>
      <name val="Arial"/>
      <charset val="1"/>
      <family val="0"/>
      <b val="1"/>
      <color rgb="FF000000"/>
      <sz val="8"/>
    </font>
    <font>
      <name val="Arial"/>
      <charset val="1"/>
      <family val="0"/>
      <color rgb="FF000000"/>
      <sz val="7"/>
    </font>
    <font>
      <name val="Arial"/>
      <charset val="1"/>
      <family val="0"/>
      <b val="1"/>
      <color rgb="FF0000FF"/>
      <sz val="7"/>
    </font>
    <font>
      <name val="Arial"/>
      <charset val="1"/>
      <family val="0"/>
      <b val="1"/>
      <color rgb="FFFFFFFF"/>
      <sz val="12"/>
    </font>
    <font>
      <name val="Arial"/>
      <charset val="1"/>
      <family val="0"/>
      <i val="1"/>
      <color rgb="FF7F7F7F"/>
      <sz val="9"/>
    </font>
  </fonts>
  <fills count="25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799"/>
        <bgColor rgb="FF4472C4"/>
      </patternFill>
    </fill>
    <fill>
      <patternFill patternType="solid">
        <fgColor rgb="FFFFFFFF"/>
        <bgColor rgb="FFF2F2F2"/>
      </patternFill>
    </fill>
    <fill>
      <patternFill patternType="solid">
        <fgColor rgb="FFFFF2CC"/>
        <bgColor rgb="FFFFFFC0"/>
      </patternFill>
    </fill>
    <fill>
      <patternFill patternType="solid">
        <fgColor rgb="FFF2F2F2"/>
        <bgColor rgb="FFF0F0F0"/>
      </patternFill>
    </fill>
    <fill>
      <patternFill patternType="solid">
        <fgColor rgb="FFD9E1F2"/>
        <bgColor rgb="FFDDEBF7"/>
      </patternFill>
    </fill>
    <fill>
      <patternFill patternType="solid">
        <fgColor rgb="FFFFFFC0"/>
        <bgColor rgb="FFFFF2CC"/>
      </patternFill>
    </fill>
    <fill>
      <patternFill patternType="solid">
        <fgColor rgb="FFBDD7EE"/>
        <bgColor rgb="FFB4C6E7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BF1DE"/>
      </patternFill>
    </fill>
    <fill>
      <patternFill patternType="solid">
        <fgColor rgb="FFDDEBF7"/>
        <bgColor rgb="FFD9E1F2"/>
      </patternFill>
    </fill>
    <fill>
      <patternFill patternType="solid">
        <fgColor rgb="FFE2D0F0"/>
        <bgColor rgb="FFD9E1F2"/>
      </patternFill>
    </fill>
    <fill>
      <patternFill patternType="solid">
        <fgColor rgb="FFFFEB9C"/>
        <bgColor rgb="FFFFF2CC"/>
      </patternFill>
    </fill>
    <fill>
      <patternFill patternType="solid">
        <fgColor rgb="FFEBF1DE"/>
        <bgColor rgb="FFE2EFDA"/>
      </patternFill>
    </fill>
    <fill>
      <patternFill patternType="solid">
        <fgColor rgb="FFEDEDED"/>
        <bgColor rgb="FFF0F0F0"/>
      </patternFill>
    </fill>
    <fill>
      <patternFill patternType="solid">
        <fgColor rgb="FF4472C4"/>
        <bgColor rgb="FF2E5799"/>
      </patternFill>
    </fill>
    <fill>
      <patternFill patternType="solid">
        <fgColor rgb="FF70AD47"/>
        <bgColor rgb="FF92D050"/>
      </patternFill>
    </fill>
    <fill>
      <patternFill patternType="solid">
        <fgColor rgb="FF00B0F0"/>
        <bgColor rgb="FF33CCCC"/>
      </patternFill>
    </fill>
    <fill>
      <patternFill patternType="solid">
        <fgColor rgb="FFFF7C00"/>
        <bgColor rgb="FFFF9900"/>
      </patternFill>
    </fill>
    <fill>
      <patternFill patternType="solid">
        <fgColor rgb="FF7030A0"/>
        <bgColor rgb="FF993366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70AD47"/>
      </patternFill>
    </fill>
    <fill>
      <patternFill patternType="solid">
        <fgColor rgb="FFA5A5A5"/>
        <bgColor rgb="FFB4C6E7"/>
      </patternFill>
    </fill>
  </fills>
  <borders count="14">
    <border>
      <left/>
      <right/>
      <top/>
      <bottom/>
      <diagonal/>
    </border>
    <border>
      <left style="thin">
        <color rgb="FF1F3864"/>
      </left>
      <right/>
      <top style="thin">
        <color rgb="FF1F3864"/>
      </top>
      <bottom style="thin">
        <color rgb="FF1F3864"/>
      </bottom>
      <diagonal/>
    </border>
    <border>
      <left style="thin">
        <color rgb="FF2E5799"/>
      </left>
      <right/>
      <top style="thin">
        <color rgb="FF2E5799"/>
      </top>
      <bottom style="thin">
        <color rgb="FF2E5799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 style="thin">
        <color rgb="FF1F3864"/>
      </top>
      <bottom/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/>
      <top style="thin">
        <color rgb="FF2E5799"/>
      </top>
      <bottom/>
      <diagonal/>
    </border>
    <border>
      <left/>
      <right/>
      <top style="thin">
        <color rgb="FF2E5799"/>
      </top>
      <bottom style="thin">
        <color rgb="FF2E5799"/>
      </bottom>
      <diagonal/>
    </border>
    <border>
      <left/>
      <right/>
      <top style="thin">
        <color rgb="FFB4C6E7"/>
      </top>
      <bottom/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5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center" vertical="center"/>
    </xf>
    <xf numFmtId="0" fontId="7" fillId="5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10" fillId="4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left" vertical="center"/>
    </xf>
    <xf numFmtId="0" fontId="9" fillId="4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4" fillId="5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9" fontId="8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0" fontId="13" fillId="11" borderId="4" applyAlignment="1" pivotButton="0" quotePrefix="0" xfId="0">
      <alignment horizontal="left" vertical="center"/>
    </xf>
    <xf numFmtId="0" fontId="9" fillId="11" borderId="3" applyAlignment="1" pivotButton="0" quotePrefix="0" xfId="0">
      <alignment horizontal="left" vertical="center"/>
    </xf>
    <xf numFmtId="0" fontId="13" fillId="12" borderId="4" applyAlignment="1" pivotButton="0" quotePrefix="0" xfId="0">
      <alignment horizontal="left" vertical="center"/>
    </xf>
    <xf numFmtId="0" fontId="9" fillId="12" borderId="3" applyAlignment="1" pivotButton="0" quotePrefix="0" xfId="0">
      <alignment horizontal="left" vertical="center"/>
    </xf>
    <xf numFmtId="0" fontId="13" fillId="10" borderId="4" applyAlignment="1" pivotButton="0" quotePrefix="0" xfId="0">
      <alignment horizontal="left" vertical="center"/>
    </xf>
    <xf numFmtId="0" fontId="9" fillId="10" borderId="3" applyAlignment="1" pivotButton="0" quotePrefix="0" xfId="0">
      <alignment horizontal="left" vertical="center"/>
    </xf>
    <xf numFmtId="0" fontId="13" fillId="13" borderId="4" applyAlignment="1" pivotButton="0" quotePrefix="0" xfId="0">
      <alignment horizontal="left" vertical="center"/>
    </xf>
    <xf numFmtId="0" fontId="9" fillId="13" borderId="3" applyAlignment="1" pivotButton="0" quotePrefix="0" xfId="0">
      <alignment horizontal="left" vertical="center"/>
    </xf>
    <xf numFmtId="0" fontId="13" fillId="14" borderId="4" applyAlignment="1" pivotButton="0" quotePrefix="0" xfId="0">
      <alignment horizontal="left" vertical="center"/>
    </xf>
    <xf numFmtId="0" fontId="9" fillId="14" borderId="3" applyAlignment="1" pivotButton="0" quotePrefix="0" xfId="0">
      <alignment horizontal="left" vertical="center"/>
    </xf>
    <xf numFmtId="0" fontId="13" fillId="15" borderId="4" applyAlignment="1" pivotButton="0" quotePrefix="0" xfId="0">
      <alignment horizontal="left" vertical="center"/>
    </xf>
    <xf numFmtId="0" fontId="9" fillId="15" borderId="3" applyAlignment="1" pivotButton="0" quotePrefix="0" xfId="0">
      <alignment horizontal="left" vertical="center"/>
    </xf>
    <xf numFmtId="0" fontId="13" fillId="16" borderId="4" applyAlignment="1" pivotButton="0" quotePrefix="0" xfId="0">
      <alignment horizontal="left" vertical="center"/>
    </xf>
    <xf numFmtId="0" fontId="9" fillId="16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left" vertical="center"/>
    </xf>
    <xf numFmtId="0" fontId="15" fillId="10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general" vertical="bottom"/>
    </xf>
    <xf numFmtId="0" fontId="10" fillId="6" borderId="4" applyAlignment="1" pivotButton="0" quotePrefix="0" xfId="0">
      <alignment horizontal="right" vertical="center"/>
    </xf>
    <xf numFmtId="0" fontId="16" fillId="5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/>
    </xf>
    <xf numFmtId="0" fontId="17" fillId="17" borderId="4" applyAlignment="1" pivotButton="0" quotePrefix="0" xfId="0">
      <alignment horizontal="center" vertical="center"/>
    </xf>
    <xf numFmtId="0" fontId="17" fillId="18" borderId="4" applyAlignment="1" pivotButton="0" quotePrefix="0" xfId="0">
      <alignment horizontal="center" vertical="center"/>
    </xf>
    <xf numFmtId="0" fontId="17" fillId="19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17" fillId="21" borderId="4" applyAlignment="1" pivotButton="0" quotePrefix="0" xfId="0">
      <alignment horizontal="center" vertical="center"/>
    </xf>
    <xf numFmtId="0" fontId="17" fillId="22" borderId="4" applyAlignment="1" pivotButton="0" quotePrefix="0" xfId="0">
      <alignment horizontal="center" vertical="center"/>
    </xf>
    <xf numFmtId="0" fontId="17" fillId="23" borderId="4" applyAlignment="1" pivotButton="0" quotePrefix="0" xfId="0">
      <alignment horizontal="center" vertical="center"/>
    </xf>
    <xf numFmtId="0" fontId="17" fillId="24" borderId="4" applyAlignment="1" pivotButton="0" quotePrefix="0" xfId="0">
      <alignment horizontal="center" vertical="center"/>
    </xf>
    <xf numFmtId="0" fontId="18" fillId="3" borderId="3" applyAlignment="1" pivotButton="0" quotePrefix="0" xfId="0">
      <alignment horizontal="center" vertical="center"/>
    </xf>
    <xf numFmtId="0" fontId="19" fillId="3" borderId="3" applyAlignment="1" pivotButton="0" quotePrefix="0" xfId="0">
      <alignment horizontal="center" vertical="center"/>
    </xf>
    <xf numFmtId="0" fontId="20" fillId="9" borderId="4" applyAlignment="1" pivotButton="0" quotePrefix="0" xfId="0">
      <alignment horizontal="left" vertical="center"/>
    </xf>
    <xf numFmtId="0" fontId="21" fillId="4" borderId="3" applyAlignment="1" pivotButton="0" quotePrefix="0" xfId="0">
      <alignment horizontal="center" vertical="center"/>
    </xf>
    <xf numFmtId="0" fontId="21" fillId="9" borderId="3" applyAlignment="1" pivotButton="0" quotePrefix="0" xfId="0">
      <alignment horizontal="left" vertical="center"/>
    </xf>
    <xf numFmtId="0" fontId="21" fillId="4" borderId="3" applyAlignment="1" pivotButton="0" quotePrefix="0" xfId="0">
      <alignment horizontal="left" vertical="center"/>
    </xf>
    <xf numFmtId="0" fontId="22" fillId="5" borderId="3" applyAlignment="1" pivotButton="0" quotePrefix="0" xfId="0">
      <alignment horizontal="center" vertical="center"/>
    </xf>
    <xf numFmtId="0" fontId="0" fillId="4" borderId="5" applyAlignment="1" pivotButton="0" quotePrefix="0" xfId="0">
      <alignment horizontal="general" vertical="bottom"/>
    </xf>
    <xf numFmtId="0" fontId="21" fillId="7" borderId="3" applyAlignment="1" pivotButton="0" quotePrefix="0" xfId="0">
      <alignment horizontal="center" vertical="center"/>
    </xf>
    <xf numFmtId="0" fontId="21" fillId="7" borderId="3" applyAlignment="1" pivotButton="0" quotePrefix="0" xfId="0">
      <alignment horizontal="left" vertical="center"/>
    </xf>
    <xf numFmtId="0" fontId="0" fillId="7" borderId="5" applyAlignment="1" pivotButton="0" quotePrefix="0" xfId="0">
      <alignment horizontal="general" vertical="bottom"/>
    </xf>
    <xf numFmtId="0" fontId="20" fillId="11" borderId="4" applyAlignment="1" pivotButton="0" quotePrefix="0" xfId="0">
      <alignment horizontal="left" vertical="center"/>
    </xf>
    <xf numFmtId="0" fontId="21" fillId="11" borderId="3" applyAlignment="1" pivotButton="0" quotePrefix="0" xfId="0">
      <alignment horizontal="left" vertical="center"/>
    </xf>
    <xf numFmtId="0" fontId="20" fillId="12" borderId="4" applyAlignment="1" pivotButton="0" quotePrefix="0" xfId="0">
      <alignment horizontal="left" vertical="center"/>
    </xf>
    <xf numFmtId="0" fontId="21" fillId="12" borderId="3" applyAlignment="1" pivotButton="0" quotePrefix="0" xfId="0">
      <alignment horizontal="left" vertical="center"/>
    </xf>
    <xf numFmtId="0" fontId="20" fillId="10" borderId="4" applyAlignment="1" pivotButton="0" quotePrefix="0" xfId="0">
      <alignment horizontal="left" vertical="center"/>
    </xf>
    <xf numFmtId="0" fontId="21" fillId="10" borderId="3" applyAlignment="1" pivotButton="0" quotePrefix="0" xfId="0">
      <alignment horizontal="left" vertical="center"/>
    </xf>
    <xf numFmtId="0" fontId="20" fillId="13" borderId="4" applyAlignment="1" pivotButton="0" quotePrefix="0" xfId="0">
      <alignment horizontal="left" vertical="center"/>
    </xf>
    <xf numFmtId="0" fontId="21" fillId="13" borderId="3" applyAlignment="1" pivotButton="0" quotePrefix="0" xfId="0">
      <alignment horizontal="left" vertical="center"/>
    </xf>
    <xf numFmtId="0" fontId="20" fillId="14" borderId="4" applyAlignment="1" pivotButton="0" quotePrefix="0" xfId="0">
      <alignment horizontal="left" vertical="center"/>
    </xf>
    <xf numFmtId="0" fontId="21" fillId="14" borderId="3" applyAlignment="1" pivotButton="0" quotePrefix="0" xfId="0">
      <alignment horizontal="left" vertical="center"/>
    </xf>
    <xf numFmtId="0" fontId="20" fillId="15" borderId="4" applyAlignment="1" pivotButton="0" quotePrefix="0" xfId="0">
      <alignment horizontal="left" vertical="center"/>
    </xf>
    <xf numFmtId="0" fontId="21" fillId="15" borderId="3" applyAlignment="1" pivotButton="0" quotePrefix="0" xfId="0">
      <alignment horizontal="left" vertical="center"/>
    </xf>
    <xf numFmtId="0" fontId="20" fillId="16" borderId="4" applyAlignment="1" pivotButton="0" quotePrefix="0" xfId="0">
      <alignment horizontal="left" vertical="center"/>
    </xf>
    <xf numFmtId="0" fontId="21" fillId="16" borderId="3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13" fillId="3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7" pivotButton="0" quotePrefix="0" xfId="0"/>
    <xf numFmtId="0" fontId="5" fillId="3" borderId="2" applyAlignment="1" pivotButton="0" quotePrefix="0" xfId="0">
      <alignment horizontal="center" vertical="center"/>
    </xf>
    <xf numFmtId="0" fontId="0" fillId="0" borderId="9" pivotButton="0" quotePrefix="0" xfId="0"/>
    <xf numFmtId="0" fontId="5" fillId="3" borderId="3" applyAlignment="1" pivotButton="0" quotePrefix="0" xfId="0">
      <alignment horizontal="center" vertical="center"/>
    </xf>
    <xf numFmtId="0" fontId="6" fillId="4" borderId="3" applyAlignment="1" pivotButton="0" quotePrefix="0" xfId="0">
      <alignment horizontal="left" vertical="center"/>
    </xf>
    <xf numFmtId="0" fontId="7" fillId="5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left" vertical="center" wrapText="1"/>
    </xf>
    <xf numFmtId="0" fontId="6" fillId="6" borderId="3" applyAlignment="1" pivotButton="0" quotePrefix="0" xfId="0">
      <alignment horizontal="left" vertical="center"/>
    </xf>
    <xf numFmtId="0" fontId="8" fillId="6" borderId="3" applyAlignment="1" pivotButton="0" quotePrefix="0" xfId="0">
      <alignment horizontal="left" vertical="center" wrapText="1"/>
    </xf>
    <xf numFmtId="0" fontId="5" fillId="3" borderId="4" applyAlignment="1" pivotButton="0" quotePrefix="0" xfId="0">
      <alignment horizontal="center" vertical="center"/>
    </xf>
    <xf numFmtId="0" fontId="0" fillId="0" borderId="11" pivotButton="0" quotePrefix="0" xfId="0"/>
    <xf numFmtId="0" fontId="7" fillId="5" borderId="3" applyAlignment="1" pivotButton="0" quotePrefix="0" xfId="0">
      <alignment horizontal="left" vertical="center"/>
    </xf>
    <xf numFmtId="0" fontId="9" fillId="4" borderId="3" applyAlignment="1" pivotButton="0" quotePrefix="0" xfId="0">
      <alignment horizontal="left" vertical="center"/>
    </xf>
    <xf numFmtId="0" fontId="0" fillId="0" borderId="13" pivotButton="0" quotePrefix="0" xfId="0"/>
    <xf numFmtId="0" fontId="10" fillId="4" borderId="3" applyAlignment="1" pivotButton="0" quotePrefix="0" xfId="0">
      <alignment horizontal="left" vertical="center"/>
    </xf>
    <xf numFmtId="0" fontId="10" fillId="7" borderId="3" applyAlignment="1" pivotButton="0" quotePrefix="0" xfId="0">
      <alignment horizontal="left" vertical="center"/>
    </xf>
    <xf numFmtId="0" fontId="4" fillId="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11" fillId="8" borderId="0" applyAlignment="1" pivotButton="0" quotePrefix="0" xfId="0">
      <alignment horizontal="center" vertical="center"/>
    </xf>
    <xf numFmtId="0" fontId="12" fillId="3" borderId="3" applyAlignment="1" pivotButton="0" quotePrefix="0" xfId="0">
      <alignment horizontal="center" vertical="center" wrapText="1"/>
    </xf>
    <xf numFmtId="0" fontId="13" fillId="9" borderId="4" applyAlignment="1" pivotButton="0" quotePrefix="0" xfId="0">
      <alignment horizontal="left" vertical="center"/>
    </xf>
    <xf numFmtId="0" fontId="9" fillId="4" borderId="3" applyAlignment="1" pivotButton="0" quotePrefix="0" xfId="0">
      <alignment horizontal="center" vertical="center"/>
    </xf>
    <xf numFmtId="0" fontId="9" fillId="9" borderId="3" applyAlignment="1" pivotButton="0" quotePrefix="0" xfId="0">
      <alignment horizontal="left" vertical="center"/>
    </xf>
    <xf numFmtId="0" fontId="14" fillId="5" borderId="3" applyAlignment="1" pivotButton="0" quotePrefix="0" xfId="0">
      <alignment horizontal="center" vertical="center"/>
    </xf>
    <xf numFmtId="0" fontId="9" fillId="10" borderId="3" applyAlignment="1" pivotButton="0" quotePrefix="0" xfId="0">
      <alignment horizontal="center" vertical="center"/>
    </xf>
    <xf numFmtId="9" fontId="8" fillId="6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center" vertical="center"/>
    </xf>
    <xf numFmtId="0" fontId="9" fillId="7" borderId="3" applyAlignment="1" pivotButton="0" quotePrefix="0" xfId="0">
      <alignment horizontal="left" vertical="center"/>
    </xf>
    <xf numFmtId="0" fontId="13" fillId="11" borderId="4" applyAlignment="1" pivotButton="0" quotePrefix="0" xfId="0">
      <alignment horizontal="left" vertical="center"/>
    </xf>
    <xf numFmtId="0" fontId="9" fillId="11" borderId="3" applyAlignment="1" pivotButton="0" quotePrefix="0" xfId="0">
      <alignment horizontal="left" vertical="center"/>
    </xf>
    <xf numFmtId="0" fontId="13" fillId="12" borderId="4" applyAlignment="1" pivotButton="0" quotePrefix="0" xfId="0">
      <alignment horizontal="left" vertical="center"/>
    </xf>
    <xf numFmtId="0" fontId="9" fillId="12" borderId="3" applyAlignment="1" pivotButton="0" quotePrefix="0" xfId="0">
      <alignment horizontal="left" vertical="center"/>
    </xf>
    <xf numFmtId="0" fontId="13" fillId="10" borderId="4" applyAlignment="1" pivotButton="0" quotePrefix="0" xfId="0">
      <alignment horizontal="left" vertical="center"/>
    </xf>
    <xf numFmtId="0" fontId="9" fillId="10" borderId="3" applyAlignment="1" pivotButton="0" quotePrefix="0" xfId="0">
      <alignment horizontal="left" vertical="center"/>
    </xf>
    <xf numFmtId="0" fontId="13" fillId="13" borderId="4" applyAlignment="1" pivotButton="0" quotePrefix="0" xfId="0">
      <alignment horizontal="left" vertical="center"/>
    </xf>
    <xf numFmtId="0" fontId="9" fillId="13" borderId="3" applyAlignment="1" pivotButton="0" quotePrefix="0" xfId="0">
      <alignment horizontal="left" vertical="center"/>
    </xf>
    <xf numFmtId="0" fontId="13" fillId="14" borderId="4" applyAlignment="1" pivotButton="0" quotePrefix="0" xfId="0">
      <alignment horizontal="left" vertical="center"/>
    </xf>
    <xf numFmtId="0" fontId="9" fillId="14" borderId="3" applyAlignment="1" pivotButton="0" quotePrefix="0" xfId="0">
      <alignment horizontal="left" vertical="center"/>
    </xf>
    <xf numFmtId="0" fontId="13" fillId="15" borderId="4" applyAlignment="1" pivotButton="0" quotePrefix="0" xfId="0">
      <alignment horizontal="left" vertical="center"/>
    </xf>
    <xf numFmtId="0" fontId="9" fillId="15" borderId="3" applyAlignment="1" pivotButton="0" quotePrefix="0" xfId="0">
      <alignment horizontal="left" vertical="center"/>
    </xf>
    <xf numFmtId="0" fontId="13" fillId="16" borderId="4" applyAlignment="1" pivotButton="0" quotePrefix="0" xfId="0">
      <alignment horizontal="left" vertical="center"/>
    </xf>
    <xf numFmtId="0" fontId="9" fillId="16" borderId="3" applyAlignment="1" pivotButton="0" quotePrefix="0" xfId="0">
      <alignment horizontal="left" vertical="center"/>
    </xf>
    <xf numFmtId="0" fontId="12" fillId="2" borderId="4" applyAlignment="1" pivotButton="0" quotePrefix="0" xfId="0">
      <alignment horizontal="left" vertical="center"/>
    </xf>
    <xf numFmtId="0" fontId="15" fillId="10" borderId="3" applyAlignment="1" pivotButton="0" quotePrefix="0" xfId="0">
      <alignment horizontal="center" vertical="center"/>
    </xf>
    <xf numFmtId="0" fontId="0" fillId="6" borderId="3" applyAlignment="1" pivotButton="0" quotePrefix="0" xfId="0">
      <alignment horizontal="general" vertical="bottom"/>
    </xf>
    <xf numFmtId="0" fontId="10" fillId="6" borderId="4" applyAlignment="1" pivotButton="0" quotePrefix="0" xfId="0">
      <alignment horizontal="right" vertical="center"/>
    </xf>
    <xf numFmtId="0" fontId="16" fillId="5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left" vertical="center"/>
    </xf>
    <xf numFmtId="0" fontId="17" fillId="17" borderId="4" applyAlignment="1" pivotButton="0" quotePrefix="0" xfId="0">
      <alignment horizontal="center" vertical="center"/>
    </xf>
    <xf numFmtId="0" fontId="17" fillId="18" borderId="4" applyAlignment="1" pivotButton="0" quotePrefix="0" xfId="0">
      <alignment horizontal="center" vertical="center"/>
    </xf>
    <xf numFmtId="0" fontId="17" fillId="19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17" fillId="21" borderId="4" applyAlignment="1" pivotButton="0" quotePrefix="0" xfId="0">
      <alignment horizontal="center" vertical="center"/>
    </xf>
    <xf numFmtId="0" fontId="17" fillId="22" borderId="4" applyAlignment="1" pivotButton="0" quotePrefix="0" xfId="0">
      <alignment horizontal="center" vertical="center"/>
    </xf>
    <xf numFmtId="0" fontId="17" fillId="23" borderId="4" applyAlignment="1" pivotButton="0" quotePrefix="0" xfId="0">
      <alignment horizontal="center" vertical="center"/>
    </xf>
    <xf numFmtId="0" fontId="17" fillId="24" borderId="4" applyAlignment="1" pivotButton="0" quotePrefix="0" xfId="0">
      <alignment horizontal="center" vertical="center"/>
    </xf>
    <xf numFmtId="0" fontId="18" fillId="3" borderId="3" applyAlignment="1" pivotButton="0" quotePrefix="0" xfId="0">
      <alignment horizontal="center" vertical="center"/>
    </xf>
    <xf numFmtId="0" fontId="19" fillId="3" borderId="3" applyAlignment="1" pivotButton="0" quotePrefix="0" xfId="0">
      <alignment horizontal="center" vertical="center"/>
    </xf>
    <xf numFmtId="0" fontId="20" fillId="9" borderId="4" applyAlignment="1" pivotButton="0" quotePrefix="0" xfId="0">
      <alignment horizontal="left" vertical="center"/>
    </xf>
    <xf numFmtId="0" fontId="21" fillId="4" borderId="3" applyAlignment="1" pivotButton="0" quotePrefix="0" xfId="0">
      <alignment horizontal="center" vertical="center"/>
    </xf>
    <xf numFmtId="0" fontId="21" fillId="9" borderId="3" applyAlignment="1" pivotButton="0" quotePrefix="0" xfId="0">
      <alignment horizontal="left" vertical="center"/>
    </xf>
    <xf numFmtId="0" fontId="21" fillId="4" borderId="3" applyAlignment="1" pivotButton="0" quotePrefix="0" xfId="0">
      <alignment horizontal="left" vertical="center"/>
    </xf>
    <xf numFmtId="0" fontId="22" fillId="5" borderId="3" applyAlignment="1" pivotButton="0" quotePrefix="0" xfId="0">
      <alignment horizontal="center" vertical="center"/>
    </xf>
    <xf numFmtId="0" fontId="0" fillId="4" borderId="5" applyAlignment="1" pivotButton="0" quotePrefix="0" xfId="0">
      <alignment horizontal="general" vertical="bottom"/>
    </xf>
    <xf numFmtId="0" fontId="21" fillId="7" borderId="3" applyAlignment="1" pivotButton="0" quotePrefix="0" xfId="0">
      <alignment horizontal="center" vertical="center"/>
    </xf>
    <xf numFmtId="0" fontId="21" fillId="7" borderId="3" applyAlignment="1" pivotButton="0" quotePrefix="0" xfId="0">
      <alignment horizontal="left" vertical="center"/>
    </xf>
    <xf numFmtId="0" fontId="0" fillId="7" borderId="5" applyAlignment="1" pivotButton="0" quotePrefix="0" xfId="0">
      <alignment horizontal="general" vertical="bottom"/>
    </xf>
    <xf numFmtId="0" fontId="20" fillId="11" borderId="4" applyAlignment="1" pivotButton="0" quotePrefix="0" xfId="0">
      <alignment horizontal="left" vertical="center"/>
    </xf>
    <xf numFmtId="0" fontId="21" fillId="11" borderId="3" applyAlignment="1" pivotButton="0" quotePrefix="0" xfId="0">
      <alignment horizontal="left" vertical="center"/>
    </xf>
    <xf numFmtId="0" fontId="20" fillId="12" borderId="4" applyAlignment="1" pivotButton="0" quotePrefix="0" xfId="0">
      <alignment horizontal="left" vertical="center"/>
    </xf>
    <xf numFmtId="0" fontId="21" fillId="12" borderId="3" applyAlignment="1" pivotButton="0" quotePrefix="0" xfId="0">
      <alignment horizontal="left" vertical="center"/>
    </xf>
    <xf numFmtId="0" fontId="20" fillId="10" borderId="4" applyAlignment="1" pivotButton="0" quotePrefix="0" xfId="0">
      <alignment horizontal="left" vertical="center"/>
    </xf>
    <xf numFmtId="0" fontId="21" fillId="10" borderId="3" applyAlignment="1" pivotButton="0" quotePrefix="0" xfId="0">
      <alignment horizontal="left" vertical="center"/>
    </xf>
    <xf numFmtId="0" fontId="20" fillId="13" borderId="4" applyAlignment="1" pivotButton="0" quotePrefix="0" xfId="0">
      <alignment horizontal="left" vertical="center"/>
    </xf>
    <xf numFmtId="0" fontId="21" fillId="13" borderId="3" applyAlignment="1" pivotButton="0" quotePrefix="0" xfId="0">
      <alignment horizontal="left" vertical="center"/>
    </xf>
    <xf numFmtId="0" fontId="20" fillId="14" borderId="4" applyAlignment="1" pivotButton="0" quotePrefix="0" xfId="0">
      <alignment horizontal="left" vertical="center"/>
    </xf>
    <xf numFmtId="0" fontId="21" fillId="14" borderId="3" applyAlignment="1" pivotButton="0" quotePrefix="0" xfId="0">
      <alignment horizontal="left" vertical="center"/>
    </xf>
    <xf numFmtId="0" fontId="20" fillId="15" borderId="4" applyAlignment="1" pivotButton="0" quotePrefix="0" xfId="0">
      <alignment horizontal="left" vertical="center"/>
    </xf>
    <xf numFmtId="0" fontId="21" fillId="15" borderId="3" applyAlignment="1" pivotButton="0" quotePrefix="0" xfId="0">
      <alignment horizontal="left" vertical="center"/>
    </xf>
    <xf numFmtId="0" fontId="20" fillId="16" borderId="4" applyAlignment="1" pivotButton="0" quotePrefix="0" xfId="0">
      <alignment horizontal="left" vertical="center"/>
    </xf>
    <xf numFmtId="0" fontId="21" fillId="16" borderId="3" applyAlignment="1" pivotButton="0" quotePrefix="0" xfId="0">
      <alignment horizontal="left" vertical="center"/>
    </xf>
    <xf numFmtId="0" fontId="23" fillId="2" borderId="0" applyAlignment="1" pivotButton="0" quotePrefix="0" xfId="0">
      <alignment horizontal="center" vertical="center"/>
    </xf>
    <xf numFmtId="0" fontId="24" fillId="8" borderId="0" applyAlignment="1" pivotButton="0" quotePrefix="0" xfId="0">
      <alignment horizontal="center" vertical="center" wrapText="1"/>
    </xf>
    <xf numFmtId="0" fontId="0" fillId="7" borderId="3" applyAlignment="1" pivotButton="0" quotePrefix="0" xfId="0">
      <alignment horizontal="general" vertical="bottom"/>
    </xf>
    <xf numFmtId="0" fontId="0" fillId="4" borderId="3" applyAlignment="1" pivotButton="0" quotePrefix="0" xfId="0">
      <alignment horizontal="general" vertical="bottom"/>
    </xf>
    <xf numFmtId="0" fontId="13" fillId="3" borderId="3" applyAlignment="1" pivotButton="0" quotePrefix="0" xfId="0">
      <alignment horizontal="left" vertical="center"/>
    </xf>
    <xf numFmtId="0" fontId="13" fillId="6" borderId="3" applyAlignment="1" pivotButton="0" quotePrefix="0" xfId="0">
      <alignment horizontal="left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ont>
        <name val="Arial"/>
        <charset val="1"/>
        <family val="0"/>
        <color rgb="FF4472C4"/>
      </font>
      <fill>
        <patternFill>
          <bgColor rgb="FF4472C4"/>
        </patternFill>
      </fill>
    </dxf>
    <dxf>
      <fill>
        <patternFill>
          <bgColor rgb="FFF0F0F0"/>
        </patternFill>
      </fill>
    </dxf>
    <dxf>
      <font>
        <name val="Arial"/>
        <charset val="1"/>
        <family val="0"/>
        <color rgb="FF70AD47"/>
      </font>
      <fill>
        <patternFill>
          <bgColor rgb="FF70AD47"/>
        </patternFill>
      </fill>
    </dxf>
    <dxf>
      <font>
        <name val="Arial"/>
        <charset val="1"/>
        <family val="0"/>
        <color rgb="FF00B0F0"/>
      </font>
      <fill>
        <patternFill>
          <bgColor rgb="FF00B0F0"/>
        </patternFill>
      </fill>
    </dxf>
    <dxf>
      <font>
        <name val="Arial"/>
        <charset val="1"/>
        <family val="0"/>
        <color rgb="FFFF7C00"/>
      </font>
      <fill>
        <patternFill>
          <bgColor rgb="FFFF7C00"/>
        </patternFill>
      </fill>
    </dxf>
    <dxf>
      <font>
        <name val="Arial"/>
        <charset val="1"/>
        <family val="0"/>
        <color rgb="FF7030A0"/>
      </font>
      <fill>
        <patternFill>
          <bgColor rgb="FF7030A0"/>
        </patternFill>
      </fill>
    </dxf>
    <dxf>
      <font>
        <name val="Arial"/>
        <charset val="1"/>
        <family val="0"/>
        <color rgb="FFFFC000"/>
      </font>
      <fill>
        <patternFill>
          <bgColor rgb="FFFFC000"/>
        </patternFill>
      </fill>
    </dxf>
    <dxf>
      <font>
        <name val="Arial"/>
        <charset val="1"/>
        <family val="0"/>
        <color rgb="FF92D050"/>
      </font>
      <fill>
        <patternFill>
          <bgColor rgb="FF92D050"/>
        </patternFill>
      </fill>
    </dxf>
    <dxf>
      <font>
        <name val="Arial"/>
        <charset val="1"/>
        <family val="0"/>
        <color rgb="FFA5A5A5"/>
      </font>
      <fill>
        <patternFill>
          <bgColor rgb="FFA5A5A5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2CC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7F7F7F"/>
      <rgbColor rgb="FFEDEDED"/>
      <rgbColor rgb="FF7030A0"/>
      <rgbColor rgb="FFFFFFC0"/>
      <rgbColor rgb="FFDDEBF7"/>
      <rgbColor rgb="FF660066"/>
      <rgbColor rgb="FFF2F2F2"/>
      <rgbColor rgb="FF0066CC"/>
      <rgbColor rgb="FFBDD7EE"/>
      <rgbColor rgb="FF000080"/>
      <rgbColor rgb="FFFF00FF"/>
      <rgbColor rgb="FFF0F0F0"/>
      <rgbColor rgb="FF00FFFF"/>
      <rgbColor rgb="FF800080"/>
      <rgbColor rgb="FF800000"/>
      <rgbColor rgb="FF008080"/>
      <rgbColor rgb="FF0000FF"/>
      <rgbColor rgb="FF00B0F0"/>
      <rgbColor rgb="FFEBF1DE"/>
      <rgbColor rgb="FFE2EFDA"/>
      <rgbColor rgb="FFFFEB9C"/>
      <rgbColor rgb="FFD0D0D0"/>
      <rgbColor rgb="FFD9E1F2"/>
      <rgbColor rgb="FFE2D0F0"/>
      <rgbColor rgb="FFFCE4D6"/>
      <rgbColor rgb="FF4472C4"/>
      <rgbColor rgb="FF33CCCC"/>
      <rgbColor rgb="FF92D050"/>
      <rgbColor rgb="FFFFC000"/>
      <rgbColor rgb="FFFF9900"/>
      <rgbColor rgb="FFFF7C00"/>
      <rgbColor rgb="FF595959"/>
      <rgbColor rgb="FFA5A5A5"/>
      <rgbColor rgb="FF1F3864"/>
      <rgbColor rgb="FF70AD47"/>
      <rgbColor rgb="FF003300"/>
      <rgbColor rgb="FF333300"/>
      <rgbColor rgb="FF993300"/>
      <rgbColor rgb="FF993366"/>
      <rgbColor rgb="FF2E57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1:D1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2" customWidth="1" style="85" min="1" max="1"/>
    <col width="38" customWidth="1" style="85" min="2" max="2"/>
    <col width="32" customWidth="1" style="85" min="3" max="3"/>
    <col width="18" customWidth="1" style="85" min="4" max="4"/>
    <col width="2" customWidth="1" style="85" min="5" max="5"/>
  </cols>
  <sheetData>
    <row r="1" ht="27.75" customHeight="1" s="86">
      <c r="B1" s="87" t="inlineStr">
        <is>
          <t>PARÁMETROS DEL PROYECTO</t>
        </is>
      </c>
      <c r="C1" s="88" t="n"/>
      <c r="D1" s="88" t="n"/>
    </row>
    <row r="2" ht="18" customHeight="1" s="86">
      <c r="B2" s="89" t="inlineStr">
        <is>
          <t>535.2.2 – MEJORA CARRETERA GUADALMAR – POU 2026</t>
        </is>
      </c>
      <c r="C2" s="90" t="n"/>
      <c r="D2" s="90" t="n"/>
    </row>
    <row r="3" ht="7.5" customHeight="1" s="86"/>
    <row r="4" ht="18" customHeight="1" s="86">
      <c r="B4" s="91" t="inlineStr">
        <is>
          <t>PARÁMETRO</t>
        </is>
      </c>
      <c r="C4" s="91" t="inlineStr">
        <is>
          <t>VALOR</t>
        </is>
      </c>
      <c r="D4" s="91" t="inlineStr">
        <is>
          <t>NOTAS</t>
        </is>
      </c>
    </row>
    <row r="5" ht="18" customHeight="1" s="86">
      <c r="B5" s="92" t="inlineStr">
        <is>
          <t>Nombre del proyecto</t>
        </is>
      </c>
      <c r="C5" s="93" t="inlineStr">
        <is>
          <t>MEJORA CARRETERA GUADALMAR, MÁLAGA</t>
        </is>
      </c>
      <c r="D5" s="94" t="inlineStr">
        <is>
          <t>Nombre completo</t>
        </is>
      </c>
    </row>
    <row r="6" ht="18" customHeight="1" s="86">
      <c r="B6" s="95" t="inlineStr">
        <is>
          <t>Número de expediente</t>
        </is>
      </c>
      <c r="C6" s="93" t="inlineStr">
        <is>
          <t>535.2.2</t>
        </is>
      </c>
      <c r="D6" s="96" t="inlineStr">
        <is>
          <t>Referencia POU 2026</t>
        </is>
      </c>
    </row>
    <row r="7" ht="18" customHeight="1" s="86">
      <c r="B7" s="92" t="inlineStr">
        <is>
          <t>Promotor</t>
        </is>
      </c>
      <c r="C7" s="93" t="inlineStr">
        <is>
          <t>Ayuntamiento de Málaga</t>
        </is>
      </c>
      <c r="D7" s="94" t="n"/>
    </row>
    <row r="8" ht="18" customHeight="1" s="86">
      <c r="B8" s="95" t="inlineStr">
        <is>
          <t>Redactor del proyecto</t>
        </is>
      </c>
      <c r="C8" s="93" t="inlineStr">
        <is>
          <t>JL Antunez Ruiz Rico</t>
        </is>
      </c>
      <c r="D8" s="96" t="n"/>
    </row>
    <row r="9" ht="18" customHeight="1" s="86">
      <c r="B9" s="92" t="inlineStr">
        <is>
          <t>Plazo total de ejecución (meses)</t>
        </is>
      </c>
      <c r="C9" s="93" t="n">
        <v>18</v>
      </c>
      <c r="D9" s="94" t="inlineStr">
        <is>
          <t>⚠ EDITABLE — controla el Gantt</t>
        </is>
      </c>
    </row>
    <row r="10" ht="18" customHeight="1" s="86">
      <c r="B10" s="95" t="inlineStr">
        <is>
          <t>Fecha prevista de inicio</t>
        </is>
      </c>
      <c r="C10" s="93" t="inlineStr">
        <is>
          <t>A definir tras licitación</t>
        </is>
      </c>
      <c r="D10" s="96" t="inlineStr">
        <is>
          <t>Mes 1 del cronograma</t>
        </is>
      </c>
    </row>
    <row r="11" ht="18" customHeight="1" s="86">
      <c r="B11" s="92" t="inlineStr">
        <is>
          <t>Plazo de garantía (meses)</t>
        </is>
      </c>
      <c r="C11" s="93" t="n">
        <v>24</v>
      </c>
      <c r="D11" s="94" t="inlineStr">
        <is>
          <t>Desde recepción provisional</t>
        </is>
      </c>
    </row>
    <row r="12" ht="18" customHeight="1" s="86">
      <c r="B12" s="95" t="inlineStr">
        <is>
          <t>Jornadas no laborables / año</t>
        </is>
      </c>
      <c r="C12" s="93" t="n">
        <v>20</v>
      </c>
      <c r="D12" s="96" t="inlineStr">
        <is>
          <t>Por meteorología adversa (base: lluvia Málaga)</t>
        </is>
      </c>
    </row>
    <row r="14" ht="12" customHeight="1" s="86"/>
    <row r="15" ht="18" customHeight="1" s="86">
      <c r="B15" s="97" t="inlineStr">
        <is>
          <t>LEYENDA DE COLORES</t>
        </is>
      </c>
      <c r="C15" s="98" t="n"/>
      <c r="D15" s="98" t="n"/>
    </row>
    <row r="16" ht="15.75" customHeight="1" s="86">
      <c r="B16" s="99" t="inlineStr">
        <is>
          <t>Texto en azul</t>
        </is>
      </c>
      <c r="C16" s="100" t="inlineStr">
        <is>
          <t>Valor editable — input de usuario</t>
        </is>
      </c>
      <c r="D16" s="101" t="n"/>
    </row>
    <row r="17" ht="15.75" customHeight="1" s="86">
      <c r="B17" s="102" t="inlineStr">
        <is>
          <t>Texto en negro</t>
        </is>
      </c>
      <c r="C17" s="100" t="inlineStr">
        <is>
          <t>Fórmula calculada automáticamente</t>
        </is>
      </c>
      <c r="D17" s="101" t="n"/>
    </row>
    <row r="18" ht="15.75" customHeight="1" s="86">
      <c r="B18" s="103" t="inlineStr">
        <is>
          <t>Fondo azul claro</t>
        </is>
      </c>
      <c r="C18" s="100" t="inlineStr">
        <is>
          <t>Resultado / salida del modelo</t>
        </is>
      </c>
      <c r="D18" s="101" t="n"/>
    </row>
  </sheetData>
  <mergeCells count="6">
    <mergeCell ref="C16:D16"/>
    <mergeCell ref="B1:D1"/>
    <mergeCell ref="C18:D18"/>
    <mergeCell ref="B15:D15"/>
    <mergeCell ref="C17:D17"/>
    <mergeCell ref="B2:D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G3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5" customWidth="1" style="85" min="1" max="1"/>
    <col width="22" customWidth="1" style="85" min="2" max="2"/>
    <col width="40" customWidth="1" style="85" min="3" max="3"/>
    <col width="11" customWidth="1" style="85" min="4" max="4"/>
    <col width="13" customWidth="1" style="85" min="5" max="5"/>
    <col width="9" customWidth="1" style="85" min="6" max="6"/>
    <col width="10" customWidth="1" style="85" min="7" max="7"/>
  </cols>
  <sheetData>
    <row r="1" ht="25.5" customHeight="1" s="86">
      <c r="A1" s="104" t="inlineStr">
        <is>
          <t>TABLA DE ACTIVIDADES — PLAN DE OBRA</t>
        </is>
      </c>
    </row>
    <row r="2" ht="15.75" customHeight="1" s="86">
      <c r="A2" s="105">
        <f>PARÁMETROS!C5</f>
        <v/>
      </c>
    </row>
    <row r="3" ht="13.5" customHeight="1" s="86">
      <c r="A3" s="106" t="inlineStr">
        <is>
          <t>⚠  Modifica las columnas INICIO PLAN y DURACIÓN PLAN (azul). El resto se calcula automáticamente.</t>
        </is>
      </c>
    </row>
    <row r="4" ht="7.5" customHeight="1" s="86"/>
    <row r="5" ht="30" customHeight="1" s="86">
      <c r="A5" s="107" t="inlineStr">
        <is>
          <t>Nº</t>
        </is>
      </c>
      <c r="B5" s="107" t="inlineStr">
        <is>
          <t>CATEGORÍA</t>
        </is>
      </c>
      <c r="C5" s="107" t="inlineStr">
        <is>
          <t>ACTIVIDAD</t>
        </is>
      </c>
      <c r="D5" s="107" t="inlineStr">
        <is>
          <t>INICIO
PLAN (mes)</t>
        </is>
      </c>
      <c r="E5" s="107" t="inlineStr">
        <is>
          <t>DURACIÓN
PLAN (meses)</t>
        </is>
      </c>
      <c r="F5" s="107" t="inlineStr">
        <is>
          <t>FIN
PLAN (mes)</t>
        </is>
      </c>
      <c r="G5" s="107" t="inlineStr">
        <is>
          <t>% COMPL.
(en ejecución)</t>
        </is>
      </c>
    </row>
    <row r="6" ht="15.75" customHeight="1" s="86">
      <c r="A6" s="108" t="inlineStr">
        <is>
          <t xml:space="preserve">  OBRA CIVIL</t>
        </is>
      </c>
      <c r="B6" s="98" t="n"/>
      <c r="C6" s="98" t="n"/>
      <c r="D6" s="98" t="n"/>
      <c r="E6" s="98" t="n"/>
      <c r="F6" s="98" t="n"/>
      <c r="G6" s="98" t="n"/>
    </row>
    <row r="7" ht="15.75" customHeight="1" s="86">
      <c r="A7" s="109" t="n">
        <v>1</v>
      </c>
      <c r="B7" s="110" t="inlineStr">
        <is>
          <t>OBRA CIVIL</t>
        </is>
      </c>
      <c r="C7" s="100" t="inlineStr">
        <is>
          <t>Demoliciones</t>
        </is>
      </c>
      <c r="D7" s="111" t="n">
        <v>1</v>
      </c>
      <c r="E7" s="111" t="n">
        <v>2</v>
      </c>
      <c r="F7" s="112">
        <f>D7+E7-1</f>
        <v/>
      </c>
      <c r="G7" s="113" t="n">
        <v>0</v>
      </c>
    </row>
    <row r="8" ht="15.75" customHeight="1" s="86">
      <c r="A8" s="114" t="n">
        <v>2</v>
      </c>
      <c r="B8" s="110" t="inlineStr">
        <is>
          <t>OBRA CIVIL</t>
        </is>
      </c>
      <c r="C8" s="115" t="inlineStr">
        <is>
          <t>Movimiento de tierras</t>
        </is>
      </c>
      <c r="D8" s="111" t="n">
        <v>1</v>
      </c>
      <c r="E8" s="111" t="n">
        <v>8</v>
      </c>
      <c r="F8" s="112">
        <f>D8+E8-1</f>
        <v/>
      </c>
      <c r="G8" s="113" t="n">
        <v>0</v>
      </c>
    </row>
    <row r="9" ht="15.75" customHeight="1" s="86">
      <c r="A9" s="109" t="n">
        <v>3</v>
      </c>
      <c r="B9" s="110" t="inlineStr">
        <is>
          <t>OBRA CIVIL</t>
        </is>
      </c>
      <c r="C9" s="100" t="inlineStr">
        <is>
          <t>Muro de contención</t>
        </is>
      </c>
      <c r="D9" s="111" t="n">
        <v>3</v>
      </c>
      <c r="E9" s="111" t="n">
        <v>4</v>
      </c>
      <c r="F9" s="112">
        <f>D9+E9-1</f>
        <v/>
      </c>
      <c r="G9" s="113" t="n">
        <v>0</v>
      </c>
    </row>
    <row r="10" ht="15.75" customHeight="1" s="86">
      <c r="A10" s="114" t="n">
        <v>4</v>
      </c>
      <c r="B10" s="110" t="inlineStr">
        <is>
          <t>OBRA CIVIL</t>
        </is>
      </c>
      <c r="C10" s="115" t="inlineStr">
        <is>
          <t>Firmes y pavimentos</t>
        </is>
      </c>
      <c r="D10" s="111" t="n">
        <v>9</v>
      </c>
      <c r="E10" s="111" t="n">
        <v>7</v>
      </c>
      <c r="F10" s="112">
        <f>D10+E10-1</f>
        <v/>
      </c>
      <c r="G10" s="113" t="n">
        <v>0</v>
      </c>
    </row>
    <row r="11" ht="15.75" customHeight="1" s="86">
      <c r="A11" s="116" t="inlineStr">
        <is>
          <t xml:space="preserve">  SANEAMIENTO</t>
        </is>
      </c>
      <c r="B11" s="98" t="n"/>
      <c r="C11" s="98" t="n"/>
      <c r="D11" s="98" t="n"/>
      <c r="E11" s="98" t="n"/>
      <c r="F11" s="98" t="n"/>
      <c r="G11" s="98" t="n"/>
    </row>
    <row r="12" ht="15.75" customHeight="1" s="86">
      <c r="A12" s="109" t="n">
        <v>5</v>
      </c>
      <c r="B12" s="117" t="inlineStr">
        <is>
          <t>SANEAMIENTO</t>
        </is>
      </c>
      <c r="C12" s="100" t="inlineStr">
        <is>
          <t>Red saneamiento aguas pluviales</t>
        </is>
      </c>
      <c r="D12" s="111" t="n">
        <v>4</v>
      </c>
      <c r="E12" s="111" t="n">
        <v>8</v>
      </c>
      <c r="F12" s="112">
        <f>D12+E12-1</f>
        <v/>
      </c>
      <c r="G12" s="113" t="n">
        <v>0</v>
      </c>
    </row>
    <row r="13" ht="15.75" customHeight="1" s="86">
      <c r="A13" s="114" t="n">
        <v>6</v>
      </c>
      <c r="B13" s="117" t="inlineStr">
        <is>
          <t>SANEAMIENTO</t>
        </is>
      </c>
      <c r="C13" s="115" t="inlineStr">
        <is>
          <t>Red saneamiento aguas fecales</t>
        </is>
      </c>
      <c r="D13" s="111" t="n">
        <v>6</v>
      </c>
      <c r="E13" s="111" t="n">
        <v>7</v>
      </c>
      <c r="F13" s="112">
        <f>D13+E13-1</f>
        <v/>
      </c>
      <c r="G13" s="113" t="n">
        <v>0</v>
      </c>
    </row>
    <row r="14" ht="15.75" customHeight="1" s="86">
      <c r="A14" s="118" t="inlineStr">
        <is>
          <t xml:space="preserve">  ABASTECIMIENTO</t>
        </is>
      </c>
      <c r="B14" s="98" t="n"/>
      <c r="C14" s="98" t="n"/>
      <c r="D14" s="98" t="n"/>
      <c r="E14" s="98" t="n"/>
      <c r="F14" s="98" t="n"/>
      <c r="G14" s="98" t="n"/>
    </row>
    <row r="15" ht="15.75" customHeight="1" s="86">
      <c r="A15" s="109" t="n">
        <v>7</v>
      </c>
      <c r="B15" s="119" t="inlineStr">
        <is>
          <t>ABASTECIMIENTO</t>
        </is>
      </c>
      <c r="C15" s="100" t="inlineStr">
        <is>
          <t>Red de agua potable</t>
        </is>
      </c>
      <c r="D15" s="111" t="n">
        <v>10</v>
      </c>
      <c r="E15" s="111" t="n">
        <v>5</v>
      </c>
      <c r="F15" s="112">
        <f>D15+E15-1</f>
        <v/>
      </c>
      <c r="G15" s="113" t="n">
        <v>0</v>
      </c>
    </row>
    <row r="16" ht="15.75" customHeight="1" s="86">
      <c r="A16" s="120" t="inlineStr">
        <is>
          <t xml:space="preserve">  ELECTRICIDAD</t>
        </is>
      </c>
      <c r="B16" s="98" t="n"/>
      <c r="C16" s="98" t="n"/>
      <c r="D16" s="98" t="n"/>
      <c r="E16" s="98" t="n"/>
      <c r="F16" s="98" t="n"/>
      <c r="G16" s="98" t="n"/>
    </row>
    <row r="17" ht="15.75" customHeight="1" s="86">
      <c r="A17" s="114" t="n">
        <v>8</v>
      </c>
      <c r="B17" s="121" t="inlineStr">
        <is>
          <t>ELECTRICIDAD</t>
        </is>
      </c>
      <c r="C17" s="115" t="inlineStr">
        <is>
          <t>Red de media tensión</t>
        </is>
      </c>
      <c r="D17" s="111" t="n">
        <v>12</v>
      </c>
      <c r="E17" s="111" t="n">
        <v>6</v>
      </c>
      <c r="F17" s="112">
        <f>D17+E17-1</f>
        <v/>
      </c>
      <c r="G17" s="113" t="n">
        <v>0</v>
      </c>
    </row>
    <row r="18" ht="15.75" customHeight="1" s="86">
      <c r="A18" s="109" t="n">
        <v>9</v>
      </c>
      <c r="B18" s="121" t="inlineStr">
        <is>
          <t>ELECTRICIDAD</t>
        </is>
      </c>
      <c r="C18" s="100" t="inlineStr">
        <is>
          <t>Red de baja tensión</t>
        </is>
      </c>
      <c r="D18" s="111" t="n">
        <v>13</v>
      </c>
      <c r="E18" s="111" t="n">
        <v>3</v>
      </c>
      <c r="F18" s="112">
        <f>D18+E18-1</f>
        <v/>
      </c>
      <c r="G18" s="113" t="n">
        <v>0</v>
      </c>
    </row>
    <row r="19" ht="15.75" customHeight="1" s="86">
      <c r="A19" s="114" t="n">
        <v>10</v>
      </c>
      <c r="B19" s="121" t="inlineStr">
        <is>
          <t>ELECTRICIDAD</t>
        </is>
      </c>
      <c r="C19" s="115" t="inlineStr">
        <is>
          <t>Red de alumbrado público</t>
        </is>
      </c>
      <c r="D19" s="111" t="n">
        <v>15</v>
      </c>
      <c r="E19" s="111" t="n">
        <v>3</v>
      </c>
      <c r="F19" s="112">
        <f>D19+E19-1</f>
        <v/>
      </c>
      <c r="G19" s="113" t="n">
        <v>0</v>
      </c>
    </row>
    <row r="20" ht="15.75" customHeight="1" s="86">
      <c r="A20" s="122" t="inlineStr">
        <is>
          <t xml:space="preserve">  TELECOMUNICACIONES</t>
        </is>
      </c>
      <c r="B20" s="98" t="n"/>
      <c r="C20" s="98" t="n"/>
      <c r="D20" s="98" t="n"/>
      <c r="E20" s="98" t="n"/>
      <c r="F20" s="98" t="n"/>
      <c r="G20" s="98" t="n"/>
    </row>
    <row r="21" ht="15.75" customHeight="1" s="86">
      <c r="A21" s="109" t="n">
        <v>11</v>
      </c>
      <c r="B21" s="123" t="inlineStr">
        <is>
          <t>TELECOMUNICACIONES</t>
        </is>
      </c>
      <c r="C21" s="100" t="inlineStr">
        <is>
          <t>Red de telecomunicaciones</t>
        </is>
      </c>
      <c r="D21" s="111" t="n">
        <v>13</v>
      </c>
      <c r="E21" s="111" t="n">
        <v>5</v>
      </c>
      <c r="F21" s="112">
        <f>D21+E21-1</f>
        <v/>
      </c>
      <c r="G21" s="113" t="n">
        <v>0</v>
      </c>
    </row>
    <row r="22" ht="15.75" customHeight="1" s="86">
      <c r="A22" s="124" t="inlineStr">
        <is>
          <t xml:space="preserve">  GAS</t>
        </is>
      </c>
      <c r="B22" s="98" t="n"/>
      <c r="C22" s="98" t="n"/>
      <c r="D22" s="98" t="n"/>
      <c r="E22" s="98" t="n"/>
      <c r="F22" s="98" t="n"/>
      <c r="G22" s="98" t="n"/>
    </row>
    <row r="23" ht="15.75" customHeight="1" s="86">
      <c r="A23" s="114" t="n">
        <v>12</v>
      </c>
      <c r="B23" s="125" t="inlineStr">
        <is>
          <t>GAS</t>
        </is>
      </c>
      <c r="C23" s="115" t="inlineStr">
        <is>
          <t>Red de gas natural</t>
        </is>
      </c>
      <c r="D23" s="111" t="n">
        <v>13</v>
      </c>
      <c r="E23" s="111" t="n">
        <v>3</v>
      </c>
      <c r="F23" s="112">
        <f>D23+E23-1</f>
        <v/>
      </c>
      <c r="G23" s="113" t="n">
        <v>0</v>
      </c>
    </row>
    <row r="24" ht="15.75" customHeight="1" s="86">
      <c r="A24" s="126" t="inlineStr">
        <is>
          <t xml:space="preserve">  URBANIZACIÓN</t>
        </is>
      </c>
      <c r="B24" s="98" t="n"/>
      <c r="C24" s="98" t="n"/>
      <c r="D24" s="98" t="n"/>
      <c r="E24" s="98" t="n"/>
      <c r="F24" s="98" t="n"/>
      <c r="G24" s="98" t="n"/>
    </row>
    <row r="25" ht="15.75" customHeight="1" s="86">
      <c r="A25" s="109" t="n">
        <v>13</v>
      </c>
      <c r="B25" s="127" t="inlineStr">
        <is>
          <t>URBANIZACIÓN</t>
        </is>
      </c>
      <c r="C25" s="100" t="inlineStr">
        <is>
          <t>Red de riego</t>
        </is>
      </c>
      <c r="D25" s="111" t="n">
        <v>12</v>
      </c>
      <c r="E25" s="111" t="n">
        <v>3</v>
      </c>
      <c r="F25" s="112">
        <f>D25+E25-1</f>
        <v/>
      </c>
      <c r="G25" s="113" t="n">
        <v>0</v>
      </c>
    </row>
    <row r="26" ht="15.75" customHeight="1" s="86">
      <c r="A26" s="114" t="n">
        <v>14</v>
      </c>
      <c r="B26" s="127" t="inlineStr">
        <is>
          <t>URBANIZACIÓN</t>
        </is>
      </c>
      <c r="C26" s="115" t="inlineStr">
        <is>
          <t>Jardinería</t>
        </is>
      </c>
      <c r="D26" s="111" t="n">
        <v>12</v>
      </c>
      <c r="E26" s="111" t="n">
        <v>7</v>
      </c>
      <c r="F26" s="112">
        <f>D26+E26-1</f>
        <v/>
      </c>
      <c r="G26" s="113" t="n">
        <v>0</v>
      </c>
    </row>
    <row r="27" ht="15.75" customHeight="1" s="86">
      <c r="A27" s="109" t="n">
        <v>15</v>
      </c>
      <c r="B27" s="127" t="inlineStr">
        <is>
          <t>URBANIZACIÓN</t>
        </is>
      </c>
      <c r="C27" s="100" t="inlineStr">
        <is>
          <t>Mobiliario urbano</t>
        </is>
      </c>
      <c r="D27" s="111" t="n">
        <v>13</v>
      </c>
      <c r="E27" s="111" t="n">
        <v>5</v>
      </c>
      <c r="F27" s="112">
        <f>D27+E27-1</f>
        <v/>
      </c>
      <c r="G27" s="113" t="n">
        <v>0</v>
      </c>
    </row>
    <row r="28" ht="15.75" customHeight="1" s="86">
      <c r="A28" s="114" t="n">
        <v>16</v>
      </c>
      <c r="B28" s="127" t="inlineStr">
        <is>
          <t>URBANIZACIÓN</t>
        </is>
      </c>
      <c r="C28" s="115" t="inlineStr">
        <is>
          <t>Residuos sólidos urbanos (RSU)</t>
        </is>
      </c>
      <c r="D28" s="111" t="n">
        <v>15</v>
      </c>
      <c r="E28" s="111" t="n">
        <v>1</v>
      </c>
      <c r="F28" s="112">
        <f>D28+E28-1</f>
        <v/>
      </c>
      <c r="G28" s="113" t="n">
        <v>0</v>
      </c>
    </row>
    <row r="29" ht="15.75" customHeight="1" s="86">
      <c r="A29" s="109" t="n">
        <v>17</v>
      </c>
      <c r="B29" s="127" t="inlineStr">
        <is>
          <t>URBANIZACIÓN</t>
        </is>
      </c>
      <c r="C29" s="100" t="inlineStr">
        <is>
          <t>Señalización horizontal y vertical</t>
        </is>
      </c>
      <c r="D29" s="111" t="n">
        <v>16</v>
      </c>
      <c r="E29" s="111" t="n">
        <v>2</v>
      </c>
      <c r="F29" s="112">
        <f>D29+E29-1</f>
        <v/>
      </c>
      <c r="G29" s="113" t="n">
        <v>0</v>
      </c>
    </row>
    <row r="30" ht="15.75" customHeight="1" s="86">
      <c r="A30" s="128" t="inlineStr">
        <is>
          <t xml:space="preserve">  CONTROL/GESTIÓN</t>
        </is>
      </c>
      <c r="B30" s="98" t="n"/>
      <c r="C30" s="98" t="n"/>
      <c r="D30" s="98" t="n"/>
      <c r="E30" s="98" t="n"/>
      <c r="F30" s="98" t="n"/>
      <c r="G30" s="98" t="n"/>
    </row>
    <row r="31" ht="15.75" customHeight="1" s="86">
      <c r="A31" s="114" t="n">
        <v>18</v>
      </c>
      <c r="B31" s="129" t="inlineStr">
        <is>
          <t>CONTROL/GESTIÓN</t>
        </is>
      </c>
      <c r="C31" s="115" t="inlineStr">
        <is>
          <t>Control de calidad</t>
        </is>
      </c>
      <c r="D31" s="111" t="n">
        <v>1</v>
      </c>
      <c r="E31" s="111" t="n">
        <v>18</v>
      </c>
      <c r="F31" s="112">
        <f>D31+E31-1</f>
        <v/>
      </c>
      <c r="G31" s="113" t="n">
        <v>0</v>
      </c>
    </row>
    <row r="32" ht="15.75" customHeight="1" s="86">
      <c r="A32" s="109" t="n">
        <v>19</v>
      </c>
      <c r="B32" s="129" t="inlineStr">
        <is>
          <t>CONTROL/GESTIÓN</t>
        </is>
      </c>
      <c r="C32" s="100" t="inlineStr">
        <is>
          <t>Legalización y recepción de obras</t>
        </is>
      </c>
      <c r="D32" s="111" t="n">
        <v>12</v>
      </c>
      <c r="E32" s="111" t="n">
        <v>7</v>
      </c>
      <c r="F32" s="112">
        <f>D32+E32-1</f>
        <v/>
      </c>
      <c r="G32" s="113" t="n">
        <v>0</v>
      </c>
    </row>
    <row r="34" ht="18" customHeight="1" s="86">
      <c r="A34" s="130" t="inlineStr">
        <is>
          <t>PLAZO TOTAL DEL PROYECTO (según PARÁMETROS)</t>
        </is>
      </c>
      <c r="B34" s="98" t="n"/>
      <c r="C34" s="98" t="n"/>
      <c r="D34" s="93">
        <f>PARÁMETROS!C9</f>
        <v/>
      </c>
      <c r="E34" s="93">
        <f>PARÁMETROS!C9</f>
        <v/>
      </c>
      <c r="F34" s="131">
        <f>MAX(F6:F33)</f>
        <v/>
      </c>
      <c r="G34" s="132" t="n"/>
    </row>
  </sheetData>
  <mergeCells count="12">
    <mergeCell ref="A14:G14"/>
    <mergeCell ref="A1:G1"/>
    <mergeCell ref="A3:G3"/>
    <mergeCell ref="A6:G6"/>
    <mergeCell ref="A22:G22"/>
    <mergeCell ref="A20:G20"/>
    <mergeCell ref="A24:G24"/>
    <mergeCell ref="A2:G2"/>
    <mergeCell ref="A16:G16"/>
    <mergeCell ref="A30:G30"/>
    <mergeCell ref="A34:C34"/>
    <mergeCell ref="A11:G11"/>
  </mergeCells>
  <dataValidations count="1">
    <dataValidation sqref="G6:G33" showDropDown="0" showInputMessage="0" showErrorMessage="0" allowBlank="0" errorTitle="Valor no válido" error="Introduzca un valor entre 0 y 1 (ej. 0.75 para 75%)" type="decimal" errorStyle="stop" operator="between">
      <formula1>0</formula1>
      <formula2>1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O33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4" customWidth="1" style="85" min="1" max="1"/>
    <col width="19" customWidth="1" style="85" min="2" max="2"/>
    <col width="34" customWidth="1" style="85" min="3" max="3"/>
    <col width="6" customWidth="1" style="85" min="4" max="4"/>
    <col width="7" customWidth="1" style="85" min="5" max="5"/>
    <col width="3.2" customWidth="1" style="85" min="6" max="41"/>
  </cols>
  <sheetData>
    <row r="1" ht="25.5" customHeight="1" s="86">
      <c r="A1" s="104" t="inlineStr">
        <is>
          <t>DIAGRAMA DE GANTT — PLAN DE OBRA</t>
        </is>
      </c>
    </row>
    <row r="2" ht="15.75" customHeight="1" s="86">
      <c r="A2" s="105">
        <f>PARÁMETROS!C5</f>
        <v/>
      </c>
    </row>
    <row r="3" ht="18" customHeight="1" s="86">
      <c r="A3" s="133" t="inlineStr">
        <is>
          <t>Plazo de ejecución activo:</t>
        </is>
      </c>
      <c r="B3" s="98" t="n"/>
      <c r="C3" s="98" t="n"/>
      <c r="D3" s="98" t="n"/>
      <c r="E3" s="98" t="n"/>
      <c r="F3" s="134">
        <f>PARÁMETROS!C9</f>
        <v/>
      </c>
      <c r="G3" s="135" t="inlineStr">
        <is>
          <t>meses</t>
        </is>
      </c>
    </row>
    <row r="4" ht="13.5" customHeight="1" s="86">
      <c r="F4" s="136" t="inlineStr">
        <is>
          <t>OBRA CIVIL</t>
        </is>
      </c>
      <c r="G4" s="98" t="n"/>
      <c r="H4" s="98" t="n"/>
      <c r="J4" s="137" t="inlineStr">
        <is>
          <t>SANEAMIENTO</t>
        </is>
      </c>
      <c r="K4" s="98" t="n"/>
      <c r="L4" s="98" t="n"/>
      <c r="N4" s="138" t="inlineStr">
        <is>
          <t>ABASTECIMIENTO</t>
        </is>
      </c>
      <c r="O4" s="98" t="n"/>
      <c r="P4" s="98" t="n"/>
      <c r="R4" s="139" t="inlineStr">
        <is>
          <t>ELECTRICIDAD</t>
        </is>
      </c>
      <c r="S4" s="98" t="n"/>
      <c r="T4" s="98" t="n"/>
      <c r="V4" s="140" t="inlineStr">
        <is>
          <t>TELECOMUNICACIONES</t>
        </is>
      </c>
      <c r="W4" s="98" t="n"/>
      <c r="X4" s="98" t="n"/>
      <c r="Z4" s="141" t="inlineStr">
        <is>
          <t>GAS</t>
        </is>
      </c>
      <c r="AA4" s="98" t="n"/>
      <c r="AB4" s="98" t="n"/>
      <c r="AD4" s="142" t="inlineStr">
        <is>
          <t>URBANIZACIÓN</t>
        </is>
      </c>
      <c r="AE4" s="98" t="n"/>
      <c r="AF4" s="98" t="n"/>
      <c r="AH4" s="143" t="inlineStr">
        <is>
          <t>CONTROL/GESTIÓN</t>
        </is>
      </c>
      <c r="AI4" s="98" t="n"/>
      <c r="AJ4" s="98" t="n"/>
    </row>
    <row r="5" ht="6" customHeight="1" s="86"/>
    <row r="6" ht="19.5" customHeight="1" s="86">
      <c r="A6" s="144" t="inlineStr">
        <is>
          <t>Nº</t>
        </is>
      </c>
      <c r="B6" s="144" t="inlineStr">
        <is>
          <t>CATEGORÍA</t>
        </is>
      </c>
      <c r="C6" s="144" t="inlineStr">
        <is>
          <t>ACTIVIDAD</t>
        </is>
      </c>
      <c r="D6" s="144" t="inlineStr">
        <is>
          <t>INI</t>
        </is>
      </c>
      <c r="E6" s="144" t="inlineStr">
        <is>
          <t>DUR</t>
        </is>
      </c>
      <c r="F6" s="145" t="n">
        <v>1</v>
      </c>
      <c r="G6" s="145" t="n">
        <v>2</v>
      </c>
      <c r="H6" s="145" t="n">
        <v>3</v>
      </c>
      <c r="I6" s="145" t="n">
        <v>4</v>
      </c>
      <c r="J6" s="145" t="n">
        <v>5</v>
      </c>
      <c r="K6" s="145" t="n">
        <v>6</v>
      </c>
      <c r="L6" s="145" t="n">
        <v>7</v>
      </c>
      <c r="M6" s="145" t="n">
        <v>8</v>
      </c>
      <c r="N6" s="145" t="n">
        <v>9</v>
      </c>
      <c r="O6" s="145" t="n">
        <v>10</v>
      </c>
      <c r="P6" s="145" t="n">
        <v>11</v>
      </c>
      <c r="Q6" s="145" t="n">
        <v>12</v>
      </c>
      <c r="R6" s="145" t="n">
        <v>13</v>
      </c>
      <c r="S6" s="145" t="n">
        <v>14</v>
      </c>
      <c r="T6" s="145" t="n">
        <v>15</v>
      </c>
      <c r="U6" s="145" t="n">
        <v>16</v>
      </c>
      <c r="V6" s="145" t="n">
        <v>17</v>
      </c>
      <c r="W6" s="145" t="n">
        <v>18</v>
      </c>
      <c r="X6" s="145" t="n">
        <v>19</v>
      </c>
      <c r="Y6" s="145" t="n">
        <v>20</v>
      </c>
      <c r="Z6" s="145" t="n">
        <v>21</v>
      </c>
      <c r="AA6" s="145" t="n">
        <v>22</v>
      </c>
      <c r="AB6" s="145" t="n">
        <v>23</v>
      </c>
      <c r="AC6" s="145" t="n">
        <v>24</v>
      </c>
      <c r="AD6" s="145" t="n">
        <v>25</v>
      </c>
      <c r="AE6" s="145" t="n">
        <v>26</v>
      </c>
      <c r="AF6" s="145" t="n">
        <v>27</v>
      </c>
      <c r="AG6" s="145" t="n">
        <v>28</v>
      </c>
      <c r="AH6" s="145" t="n">
        <v>29</v>
      </c>
      <c r="AI6" s="145" t="n">
        <v>30</v>
      </c>
      <c r="AJ6" s="145" t="n">
        <v>31</v>
      </c>
      <c r="AK6" s="145" t="n">
        <v>32</v>
      </c>
      <c r="AL6" s="145" t="n">
        <v>33</v>
      </c>
      <c r="AM6" s="145" t="n">
        <v>34</v>
      </c>
      <c r="AN6" s="145" t="n">
        <v>35</v>
      </c>
      <c r="AO6" s="145" t="n">
        <v>36</v>
      </c>
    </row>
    <row r="7" ht="13.5" customHeight="1" s="86">
      <c r="A7" s="146" t="inlineStr">
        <is>
          <t xml:space="preserve">  OBRA CIVIL</t>
        </is>
      </c>
      <c r="B7" s="98" t="n"/>
      <c r="C7" s="98" t="n"/>
      <c r="D7" s="98" t="n"/>
      <c r="E7" s="98" t="n"/>
      <c r="F7" s="98" t="n"/>
      <c r="G7" s="98" t="n"/>
      <c r="H7" s="98" t="n"/>
      <c r="I7" s="98" t="n"/>
      <c r="J7" s="98" t="n"/>
      <c r="K7" s="98" t="n"/>
      <c r="L7" s="98" t="n"/>
      <c r="M7" s="98" t="n"/>
      <c r="N7" s="98" t="n"/>
      <c r="O7" s="98" t="n"/>
      <c r="P7" s="98" t="n"/>
      <c r="Q7" s="98" t="n"/>
      <c r="R7" s="98" t="n"/>
      <c r="S7" s="98" t="n"/>
      <c r="T7" s="98" t="n"/>
      <c r="U7" s="98" t="n"/>
      <c r="V7" s="98" t="n"/>
      <c r="W7" s="98" t="n"/>
      <c r="X7" s="98" t="n"/>
      <c r="Y7" s="98" t="n"/>
      <c r="Z7" s="98" t="n"/>
      <c r="AA7" s="98" t="n"/>
      <c r="AB7" s="98" t="n"/>
      <c r="AC7" s="98" t="n"/>
      <c r="AD7" s="98" t="n"/>
      <c r="AE7" s="98" t="n"/>
      <c r="AF7" s="98" t="n"/>
      <c r="AG7" s="98" t="n"/>
      <c r="AH7" s="98" t="n"/>
      <c r="AI7" s="98" t="n"/>
      <c r="AJ7" s="98" t="n"/>
      <c r="AK7" s="98" t="n"/>
      <c r="AL7" s="98" t="n"/>
      <c r="AM7" s="98" t="n"/>
      <c r="AN7" s="98" t="n"/>
      <c r="AO7" s="98" t="n"/>
    </row>
    <row r="8" ht="13.5" customHeight="1" s="86">
      <c r="A8" s="147" t="n">
        <v>1</v>
      </c>
      <c r="B8" s="148" t="inlineStr">
        <is>
          <t>OBRA CIVIL</t>
        </is>
      </c>
      <c r="C8" s="149">
        <f>'PLAN DE OBRA'!C7</f>
        <v/>
      </c>
      <c r="D8" s="150">
        <f>'PLAN DE OBRA'!D7</f>
        <v/>
      </c>
      <c r="E8" s="150">
        <f>'PLAN DE OBRA'!E7</f>
        <v/>
      </c>
      <c r="F8" s="151" t="n"/>
      <c r="G8" s="151" t="n"/>
      <c r="H8" s="151" t="n"/>
      <c r="I8" s="151" t="n"/>
      <c r="J8" s="151" t="n"/>
      <c r="K8" s="151" t="n"/>
      <c r="L8" s="151" t="n"/>
      <c r="M8" s="151" t="n"/>
      <c r="N8" s="151" t="n"/>
      <c r="O8" s="151" t="n"/>
      <c r="P8" s="151" t="n"/>
      <c r="Q8" s="151" t="n"/>
      <c r="R8" s="151" t="n"/>
      <c r="S8" s="151" t="n"/>
      <c r="T8" s="151" t="n"/>
      <c r="U8" s="151" t="n"/>
      <c r="V8" s="151" t="n"/>
      <c r="W8" s="151" t="n"/>
      <c r="X8" s="151" t="n"/>
      <c r="Y8" s="151" t="n"/>
      <c r="Z8" s="151" t="n"/>
      <c r="AA8" s="151" t="n"/>
      <c r="AB8" s="151" t="n"/>
      <c r="AC8" s="151" t="n"/>
      <c r="AD8" s="151" t="n"/>
      <c r="AE8" s="151" t="n"/>
      <c r="AF8" s="151" t="n"/>
      <c r="AG8" s="151" t="n"/>
      <c r="AH8" s="151" t="n"/>
      <c r="AI8" s="151" t="n"/>
      <c r="AJ8" s="151" t="n"/>
      <c r="AK8" s="151" t="n"/>
      <c r="AL8" s="151" t="n"/>
      <c r="AM8" s="151" t="n"/>
      <c r="AN8" s="151" t="n"/>
      <c r="AO8" s="151" t="n"/>
    </row>
    <row r="9" ht="13.5" customHeight="1" s="86">
      <c r="A9" s="152" t="n">
        <v>2</v>
      </c>
      <c r="B9" s="148" t="inlineStr">
        <is>
          <t>OBRA CIVIL</t>
        </is>
      </c>
      <c r="C9" s="153">
        <f>'PLAN DE OBRA'!C8</f>
        <v/>
      </c>
      <c r="D9" s="150">
        <f>'PLAN DE OBRA'!D8</f>
        <v/>
      </c>
      <c r="E9" s="150">
        <f>'PLAN DE OBRA'!E8</f>
        <v/>
      </c>
      <c r="F9" s="154" t="n"/>
      <c r="G9" s="154" t="n"/>
      <c r="H9" s="154" t="n"/>
      <c r="I9" s="154" t="n"/>
      <c r="J9" s="154" t="n"/>
      <c r="K9" s="154" t="n"/>
      <c r="L9" s="154" t="n"/>
      <c r="M9" s="154" t="n"/>
      <c r="N9" s="154" t="n"/>
      <c r="O9" s="154" t="n"/>
      <c r="P9" s="154" t="n"/>
      <c r="Q9" s="154" t="n"/>
      <c r="R9" s="154" t="n"/>
      <c r="S9" s="154" t="n"/>
      <c r="T9" s="154" t="n"/>
      <c r="U9" s="154" t="n"/>
      <c r="V9" s="154" t="n"/>
      <c r="W9" s="154" t="n"/>
      <c r="X9" s="154" t="n"/>
      <c r="Y9" s="154" t="n"/>
      <c r="Z9" s="154" t="n"/>
      <c r="AA9" s="154" t="n"/>
      <c r="AB9" s="154" t="n"/>
      <c r="AC9" s="154" t="n"/>
      <c r="AD9" s="154" t="n"/>
      <c r="AE9" s="154" t="n"/>
      <c r="AF9" s="154" t="n"/>
      <c r="AG9" s="154" t="n"/>
      <c r="AH9" s="154" t="n"/>
      <c r="AI9" s="154" t="n"/>
      <c r="AJ9" s="154" t="n"/>
      <c r="AK9" s="154" t="n"/>
      <c r="AL9" s="154" t="n"/>
      <c r="AM9" s="154" t="n"/>
      <c r="AN9" s="154" t="n"/>
      <c r="AO9" s="154" t="n"/>
    </row>
    <row r="10" ht="13.5" customHeight="1" s="86">
      <c r="A10" s="147" t="n">
        <v>3</v>
      </c>
      <c r="B10" s="148" t="inlineStr">
        <is>
          <t>OBRA CIVIL</t>
        </is>
      </c>
      <c r="C10" s="149">
        <f>'PLAN DE OBRA'!C9</f>
        <v/>
      </c>
      <c r="D10" s="150">
        <f>'PLAN DE OBRA'!D9</f>
        <v/>
      </c>
      <c r="E10" s="150">
        <f>'PLAN DE OBRA'!E9</f>
        <v/>
      </c>
      <c r="F10" s="151" t="n"/>
      <c r="G10" s="151" t="n"/>
      <c r="H10" s="151" t="n"/>
      <c r="I10" s="151" t="n"/>
      <c r="J10" s="151" t="n"/>
      <c r="K10" s="151" t="n"/>
      <c r="L10" s="151" t="n"/>
      <c r="M10" s="151" t="n"/>
      <c r="N10" s="151" t="n"/>
      <c r="O10" s="151" t="n"/>
      <c r="P10" s="151" t="n"/>
      <c r="Q10" s="151" t="n"/>
      <c r="R10" s="151" t="n"/>
      <c r="S10" s="151" t="n"/>
      <c r="T10" s="151" t="n"/>
      <c r="U10" s="151" t="n"/>
      <c r="V10" s="151" t="n"/>
      <c r="W10" s="151" t="n"/>
      <c r="X10" s="151" t="n"/>
      <c r="Y10" s="151" t="n"/>
      <c r="Z10" s="151" t="n"/>
      <c r="AA10" s="151" t="n"/>
      <c r="AB10" s="151" t="n"/>
      <c r="AC10" s="151" t="n"/>
      <c r="AD10" s="151" t="n"/>
      <c r="AE10" s="151" t="n"/>
      <c r="AF10" s="151" t="n"/>
      <c r="AG10" s="151" t="n"/>
      <c r="AH10" s="151" t="n"/>
      <c r="AI10" s="151" t="n"/>
      <c r="AJ10" s="151" t="n"/>
      <c r="AK10" s="151" t="n"/>
      <c r="AL10" s="151" t="n"/>
      <c r="AM10" s="151" t="n"/>
      <c r="AN10" s="151" t="n"/>
      <c r="AO10" s="151" t="n"/>
    </row>
    <row r="11" ht="13.5" customHeight="1" s="86">
      <c r="A11" s="152" t="n">
        <v>4</v>
      </c>
      <c r="B11" s="148" t="inlineStr">
        <is>
          <t>OBRA CIVIL</t>
        </is>
      </c>
      <c r="C11" s="153">
        <f>'PLAN DE OBRA'!C10</f>
        <v/>
      </c>
      <c r="D11" s="150">
        <f>'PLAN DE OBRA'!D10</f>
        <v/>
      </c>
      <c r="E11" s="150">
        <f>'PLAN DE OBRA'!E10</f>
        <v/>
      </c>
      <c r="F11" s="154" t="n"/>
      <c r="G11" s="154" t="n"/>
      <c r="H11" s="154" t="n"/>
      <c r="I11" s="154" t="n"/>
      <c r="J11" s="154" t="n"/>
      <c r="K11" s="154" t="n"/>
      <c r="L11" s="154" t="n"/>
      <c r="M11" s="154" t="n"/>
      <c r="N11" s="154" t="n"/>
      <c r="O11" s="154" t="n"/>
      <c r="P11" s="154" t="n"/>
      <c r="Q11" s="154" t="n"/>
      <c r="R11" s="154" t="n"/>
      <c r="S11" s="154" t="n"/>
      <c r="T11" s="154" t="n"/>
      <c r="U11" s="154" t="n"/>
      <c r="V11" s="154" t="n"/>
      <c r="W11" s="154" t="n"/>
      <c r="X11" s="154" t="n"/>
      <c r="Y11" s="154" t="n"/>
      <c r="Z11" s="154" t="n"/>
      <c r="AA11" s="154" t="n"/>
      <c r="AB11" s="154" t="n"/>
      <c r="AC11" s="154" t="n"/>
      <c r="AD11" s="154" t="n"/>
      <c r="AE11" s="154" t="n"/>
      <c r="AF11" s="154" t="n"/>
      <c r="AG11" s="154" t="n"/>
      <c r="AH11" s="154" t="n"/>
      <c r="AI11" s="154" t="n"/>
      <c r="AJ11" s="154" t="n"/>
      <c r="AK11" s="154" t="n"/>
      <c r="AL11" s="154" t="n"/>
      <c r="AM11" s="154" t="n"/>
      <c r="AN11" s="154" t="n"/>
      <c r="AO11" s="154" t="n"/>
    </row>
    <row r="12" ht="13.5" customHeight="1" s="86">
      <c r="A12" s="155" t="inlineStr">
        <is>
          <t xml:space="preserve">  SANEAMIENTO</t>
        </is>
      </c>
      <c r="B12" s="98" t="n"/>
      <c r="C12" s="98" t="n"/>
      <c r="D12" s="98" t="n"/>
      <c r="E12" s="98" t="n"/>
      <c r="F12" s="98" t="n"/>
      <c r="G12" s="98" t="n"/>
      <c r="H12" s="98" t="n"/>
      <c r="I12" s="98" t="n"/>
      <c r="J12" s="98" t="n"/>
      <c r="K12" s="98" t="n"/>
      <c r="L12" s="98" t="n"/>
      <c r="M12" s="98" t="n"/>
      <c r="N12" s="98" t="n"/>
      <c r="O12" s="98" t="n"/>
      <c r="P12" s="98" t="n"/>
      <c r="Q12" s="98" t="n"/>
      <c r="R12" s="98" t="n"/>
      <c r="S12" s="98" t="n"/>
      <c r="T12" s="98" t="n"/>
      <c r="U12" s="98" t="n"/>
      <c r="V12" s="98" t="n"/>
      <c r="W12" s="98" t="n"/>
      <c r="X12" s="98" t="n"/>
      <c r="Y12" s="98" t="n"/>
      <c r="Z12" s="98" t="n"/>
      <c r="AA12" s="98" t="n"/>
      <c r="AB12" s="98" t="n"/>
      <c r="AC12" s="98" t="n"/>
      <c r="AD12" s="98" t="n"/>
      <c r="AE12" s="98" t="n"/>
      <c r="AF12" s="98" t="n"/>
      <c r="AG12" s="98" t="n"/>
      <c r="AH12" s="98" t="n"/>
      <c r="AI12" s="98" t="n"/>
      <c r="AJ12" s="98" t="n"/>
      <c r="AK12" s="98" t="n"/>
      <c r="AL12" s="98" t="n"/>
      <c r="AM12" s="98" t="n"/>
      <c r="AN12" s="98" t="n"/>
      <c r="AO12" s="98" t="n"/>
    </row>
    <row r="13" ht="13.5" customHeight="1" s="86">
      <c r="A13" s="147" t="n">
        <v>5</v>
      </c>
      <c r="B13" s="156" t="inlineStr">
        <is>
          <t>SANEAMIENTO</t>
        </is>
      </c>
      <c r="C13" s="149">
        <f>'PLAN DE OBRA'!C12</f>
        <v/>
      </c>
      <c r="D13" s="150">
        <f>'PLAN DE OBRA'!D12</f>
        <v/>
      </c>
      <c r="E13" s="150">
        <f>'PLAN DE OBRA'!E12</f>
        <v/>
      </c>
      <c r="F13" s="151" t="n"/>
      <c r="G13" s="151" t="n"/>
      <c r="H13" s="151" t="n"/>
      <c r="I13" s="151" t="n"/>
      <c r="J13" s="151" t="n"/>
      <c r="K13" s="151" t="n"/>
      <c r="L13" s="151" t="n"/>
      <c r="M13" s="151" t="n"/>
      <c r="N13" s="151" t="n"/>
      <c r="O13" s="151" t="n"/>
      <c r="P13" s="151" t="n"/>
      <c r="Q13" s="151" t="n"/>
      <c r="R13" s="151" t="n"/>
      <c r="S13" s="151" t="n"/>
      <c r="T13" s="151" t="n"/>
      <c r="U13" s="151" t="n"/>
      <c r="V13" s="151" t="n"/>
      <c r="W13" s="151" t="n"/>
      <c r="X13" s="151" t="n"/>
      <c r="Y13" s="151" t="n"/>
      <c r="Z13" s="151" t="n"/>
      <c r="AA13" s="151" t="n"/>
      <c r="AB13" s="151" t="n"/>
      <c r="AC13" s="151" t="n"/>
      <c r="AD13" s="151" t="n"/>
      <c r="AE13" s="151" t="n"/>
      <c r="AF13" s="151" t="n"/>
      <c r="AG13" s="151" t="n"/>
      <c r="AH13" s="151" t="n"/>
      <c r="AI13" s="151" t="n"/>
      <c r="AJ13" s="151" t="n"/>
      <c r="AK13" s="151" t="n"/>
      <c r="AL13" s="151" t="n"/>
      <c r="AM13" s="151" t="n"/>
      <c r="AN13" s="151" t="n"/>
      <c r="AO13" s="151" t="n"/>
    </row>
    <row r="14" ht="13.5" customHeight="1" s="86">
      <c r="A14" s="152" t="n">
        <v>6</v>
      </c>
      <c r="B14" s="156" t="inlineStr">
        <is>
          <t>SANEAMIENTO</t>
        </is>
      </c>
      <c r="C14" s="153">
        <f>'PLAN DE OBRA'!C13</f>
        <v/>
      </c>
      <c r="D14" s="150">
        <f>'PLAN DE OBRA'!D13</f>
        <v/>
      </c>
      <c r="E14" s="150">
        <f>'PLAN DE OBRA'!E13</f>
        <v/>
      </c>
      <c r="F14" s="154" t="n"/>
      <c r="G14" s="154" t="n"/>
      <c r="H14" s="154" t="n"/>
      <c r="I14" s="154" t="n"/>
      <c r="J14" s="154" t="n"/>
      <c r="K14" s="154" t="n"/>
      <c r="L14" s="154" t="n"/>
      <c r="M14" s="154" t="n"/>
      <c r="N14" s="154" t="n"/>
      <c r="O14" s="154" t="n"/>
      <c r="P14" s="154" t="n"/>
      <c r="Q14" s="154" t="n"/>
      <c r="R14" s="154" t="n"/>
      <c r="S14" s="154" t="n"/>
      <c r="T14" s="154" t="n"/>
      <c r="U14" s="154" t="n"/>
      <c r="V14" s="154" t="n"/>
      <c r="W14" s="154" t="n"/>
      <c r="X14" s="154" t="n"/>
      <c r="Y14" s="154" t="n"/>
      <c r="Z14" s="154" t="n"/>
      <c r="AA14" s="154" t="n"/>
      <c r="AB14" s="154" t="n"/>
      <c r="AC14" s="154" t="n"/>
      <c r="AD14" s="154" t="n"/>
      <c r="AE14" s="154" t="n"/>
      <c r="AF14" s="154" t="n"/>
      <c r="AG14" s="154" t="n"/>
      <c r="AH14" s="154" t="n"/>
      <c r="AI14" s="154" t="n"/>
      <c r="AJ14" s="154" t="n"/>
      <c r="AK14" s="154" t="n"/>
      <c r="AL14" s="154" t="n"/>
      <c r="AM14" s="154" t="n"/>
      <c r="AN14" s="154" t="n"/>
      <c r="AO14" s="154" t="n"/>
    </row>
    <row r="15" ht="13.5" customHeight="1" s="86">
      <c r="A15" s="157" t="inlineStr">
        <is>
          <t xml:space="preserve">  ABASTECIMIENTO</t>
        </is>
      </c>
      <c r="B15" s="98" t="n"/>
      <c r="C15" s="98" t="n"/>
      <c r="D15" s="98" t="n"/>
      <c r="E15" s="98" t="n"/>
      <c r="F15" s="98" t="n"/>
      <c r="G15" s="98" t="n"/>
      <c r="H15" s="98" t="n"/>
      <c r="I15" s="98" t="n"/>
      <c r="J15" s="98" t="n"/>
      <c r="K15" s="98" t="n"/>
      <c r="L15" s="98" t="n"/>
      <c r="M15" s="98" t="n"/>
      <c r="N15" s="98" t="n"/>
      <c r="O15" s="98" t="n"/>
      <c r="P15" s="98" t="n"/>
      <c r="Q15" s="98" t="n"/>
      <c r="R15" s="98" t="n"/>
      <c r="S15" s="98" t="n"/>
      <c r="T15" s="98" t="n"/>
      <c r="U15" s="98" t="n"/>
      <c r="V15" s="98" t="n"/>
      <c r="W15" s="98" t="n"/>
      <c r="X15" s="98" t="n"/>
      <c r="Y15" s="98" t="n"/>
      <c r="Z15" s="98" t="n"/>
      <c r="AA15" s="98" t="n"/>
      <c r="AB15" s="98" t="n"/>
      <c r="AC15" s="98" t="n"/>
      <c r="AD15" s="98" t="n"/>
      <c r="AE15" s="98" t="n"/>
      <c r="AF15" s="98" t="n"/>
      <c r="AG15" s="98" t="n"/>
      <c r="AH15" s="98" t="n"/>
      <c r="AI15" s="98" t="n"/>
      <c r="AJ15" s="98" t="n"/>
      <c r="AK15" s="98" t="n"/>
      <c r="AL15" s="98" t="n"/>
      <c r="AM15" s="98" t="n"/>
      <c r="AN15" s="98" t="n"/>
      <c r="AO15" s="98" t="n"/>
    </row>
    <row r="16" ht="13.5" customHeight="1" s="86">
      <c r="A16" s="147" t="n">
        <v>7</v>
      </c>
      <c r="B16" s="158" t="inlineStr">
        <is>
          <t>ABASTECIMIENTO</t>
        </is>
      </c>
      <c r="C16" s="149">
        <f>'PLAN DE OBRA'!C15</f>
        <v/>
      </c>
      <c r="D16" s="150">
        <f>'PLAN DE OBRA'!D15</f>
        <v/>
      </c>
      <c r="E16" s="150">
        <f>'PLAN DE OBRA'!E15</f>
        <v/>
      </c>
      <c r="F16" s="151" t="n"/>
      <c r="G16" s="151" t="n"/>
      <c r="H16" s="151" t="n"/>
      <c r="I16" s="151" t="n"/>
      <c r="J16" s="151" t="n"/>
      <c r="K16" s="151" t="n"/>
      <c r="L16" s="151" t="n"/>
      <c r="M16" s="151" t="n"/>
      <c r="N16" s="151" t="n"/>
      <c r="O16" s="151" t="n"/>
      <c r="P16" s="151" t="n"/>
      <c r="Q16" s="151" t="n"/>
      <c r="R16" s="151" t="n"/>
      <c r="S16" s="151" t="n"/>
      <c r="T16" s="151" t="n"/>
      <c r="U16" s="151" t="n"/>
      <c r="V16" s="151" t="n"/>
      <c r="W16" s="151" t="n"/>
      <c r="X16" s="151" t="n"/>
      <c r="Y16" s="151" t="n"/>
      <c r="Z16" s="151" t="n"/>
      <c r="AA16" s="151" t="n"/>
      <c r="AB16" s="151" t="n"/>
      <c r="AC16" s="151" t="n"/>
      <c r="AD16" s="151" t="n"/>
      <c r="AE16" s="151" t="n"/>
      <c r="AF16" s="151" t="n"/>
      <c r="AG16" s="151" t="n"/>
      <c r="AH16" s="151" t="n"/>
      <c r="AI16" s="151" t="n"/>
      <c r="AJ16" s="151" t="n"/>
      <c r="AK16" s="151" t="n"/>
      <c r="AL16" s="151" t="n"/>
      <c r="AM16" s="151" t="n"/>
      <c r="AN16" s="151" t="n"/>
      <c r="AO16" s="151" t="n"/>
    </row>
    <row r="17" ht="13.5" customHeight="1" s="86">
      <c r="A17" s="159" t="inlineStr">
        <is>
          <t xml:space="preserve">  ELECTRICIDAD</t>
        </is>
      </c>
      <c r="B17" s="98" t="n"/>
      <c r="C17" s="98" t="n"/>
      <c r="D17" s="98" t="n"/>
      <c r="E17" s="98" t="n"/>
      <c r="F17" s="98" t="n"/>
      <c r="G17" s="98" t="n"/>
      <c r="H17" s="98" t="n"/>
      <c r="I17" s="98" t="n"/>
      <c r="J17" s="98" t="n"/>
      <c r="K17" s="98" t="n"/>
      <c r="L17" s="98" t="n"/>
      <c r="M17" s="98" t="n"/>
      <c r="N17" s="98" t="n"/>
      <c r="O17" s="98" t="n"/>
      <c r="P17" s="98" t="n"/>
      <c r="Q17" s="98" t="n"/>
      <c r="R17" s="98" t="n"/>
      <c r="S17" s="98" t="n"/>
      <c r="T17" s="98" t="n"/>
      <c r="U17" s="98" t="n"/>
      <c r="V17" s="98" t="n"/>
      <c r="W17" s="98" t="n"/>
      <c r="X17" s="98" t="n"/>
      <c r="Y17" s="98" t="n"/>
      <c r="Z17" s="98" t="n"/>
      <c r="AA17" s="98" t="n"/>
      <c r="AB17" s="98" t="n"/>
      <c r="AC17" s="98" t="n"/>
      <c r="AD17" s="98" t="n"/>
      <c r="AE17" s="98" t="n"/>
      <c r="AF17" s="98" t="n"/>
      <c r="AG17" s="98" t="n"/>
      <c r="AH17" s="98" t="n"/>
      <c r="AI17" s="98" t="n"/>
      <c r="AJ17" s="98" t="n"/>
      <c r="AK17" s="98" t="n"/>
      <c r="AL17" s="98" t="n"/>
      <c r="AM17" s="98" t="n"/>
      <c r="AN17" s="98" t="n"/>
      <c r="AO17" s="98" t="n"/>
    </row>
    <row r="18" ht="13.5" customHeight="1" s="86">
      <c r="A18" s="152" t="n">
        <v>8</v>
      </c>
      <c r="B18" s="160" t="inlineStr">
        <is>
          <t>ELECTRICIDAD</t>
        </is>
      </c>
      <c r="C18" s="153">
        <f>'PLAN DE OBRA'!C17</f>
        <v/>
      </c>
      <c r="D18" s="150">
        <f>'PLAN DE OBRA'!D17</f>
        <v/>
      </c>
      <c r="E18" s="150">
        <f>'PLAN DE OBRA'!E17</f>
        <v/>
      </c>
      <c r="F18" s="154" t="n"/>
      <c r="G18" s="154" t="n"/>
      <c r="H18" s="154" t="n"/>
      <c r="I18" s="154" t="n"/>
      <c r="J18" s="154" t="n"/>
      <c r="K18" s="154" t="n"/>
      <c r="L18" s="154" t="n"/>
      <c r="M18" s="154" t="n"/>
      <c r="N18" s="154" t="n"/>
      <c r="O18" s="154" t="n"/>
      <c r="P18" s="154" t="n"/>
      <c r="Q18" s="154" t="n"/>
      <c r="R18" s="154" t="n"/>
      <c r="S18" s="154" t="n"/>
      <c r="T18" s="154" t="n"/>
      <c r="U18" s="154" t="n"/>
      <c r="V18" s="154" t="n"/>
      <c r="W18" s="154" t="n"/>
      <c r="X18" s="154" t="n"/>
      <c r="Y18" s="154" t="n"/>
      <c r="Z18" s="154" t="n"/>
      <c r="AA18" s="154" t="n"/>
      <c r="AB18" s="154" t="n"/>
      <c r="AC18" s="154" t="n"/>
      <c r="AD18" s="154" t="n"/>
      <c r="AE18" s="154" t="n"/>
      <c r="AF18" s="154" t="n"/>
      <c r="AG18" s="154" t="n"/>
      <c r="AH18" s="154" t="n"/>
      <c r="AI18" s="154" t="n"/>
      <c r="AJ18" s="154" t="n"/>
      <c r="AK18" s="154" t="n"/>
      <c r="AL18" s="154" t="n"/>
      <c r="AM18" s="154" t="n"/>
      <c r="AN18" s="154" t="n"/>
      <c r="AO18" s="154" t="n"/>
    </row>
    <row r="19" ht="13.5" customHeight="1" s="86">
      <c r="A19" s="147" t="n">
        <v>9</v>
      </c>
      <c r="B19" s="160" t="inlineStr">
        <is>
          <t>ELECTRICIDAD</t>
        </is>
      </c>
      <c r="C19" s="149">
        <f>'PLAN DE OBRA'!C18</f>
        <v/>
      </c>
      <c r="D19" s="150">
        <f>'PLAN DE OBRA'!D18</f>
        <v/>
      </c>
      <c r="E19" s="150">
        <f>'PLAN DE OBRA'!E18</f>
        <v/>
      </c>
      <c r="F19" s="151" t="n"/>
      <c r="G19" s="151" t="n"/>
      <c r="H19" s="151" t="n"/>
      <c r="I19" s="151" t="n"/>
      <c r="J19" s="151" t="n"/>
      <c r="K19" s="151" t="n"/>
      <c r="L19" s="151" t="n"/>
      <c r="M19" s="151" t="n"/>
      <c r="N19" s="151" t="n"/>
      <c r="O19" s="151" t="n"/>
      <c r="P19" s="151" t="n"/>
      <c r="Q19" s="151" t="n"/>
      <c r="R19" s="151" t="n"/>
      <c r="S19" s="151" t="n"/>
      <c r="T19" s="151" t="n"/>
      <c r="U19" s="151" t="n"/>
      <c r="V19" s="151" t="n"/>
      <c r="W19" s="151" t="n"/>
      <c r="X19" s="151" t="n"/>
      <c r="Y19" s="151" t="n"/>
      <c r="Z19" s="151" t="n"/>
      <c r="AA19" s="151" t="n"/>
      <c r="AB19" s="151" t="n"/>
      <c r="AC19" s="151" t="n"/>
      <c r="AD19" s="151" t="n"/>
      <c r="AE19" s="151" t="n"/>
      <c r="AF19" s="151" t="n"/>
      <c r="AG19" s="151" t="n"/>
      <c r="AH19" s="151" t="n"/>
      <c r="AI19" s="151" t="n"/>
      <c r="AJ19" s="151" t="n"/>
      <c r="AK19" s="151" t="n"/>
      <c r="AL19" s="151" t="n"/>
      <c r="AM19" s="151" t="n"/>
      <c r="AN19" s="151" t="n"/>
      <c r="AO19" s="151" t="n"/>
    </row>
    <row r="20" ht="13.5" customHeight="1" s="86">
      <c r="A20" s="152" t="n">
        <v>10</v>
      </c>
      <c r="B20" s="160" t="inlineStr">
        <is>
          <t>ELECTRICIDAD</t>
        </is>
      </c>
      <c r="C20" s="153">
        <f>'PLAN DE OBRA'!C19</f>
        <v/>
      </c>
      <c r="D20" s="150">
        <f>'PLAN DE OBRA'!D19</f>
        <v/>
      </c>
      <c r="E20" s="150">
        <f>'PLAN DE OBRA'!E19</f>
        <v/>
      </c>
      <c r="F20" s="154" t="n"/>
      <c r="G20" s="154" t="n"/>
      <c r="H20" s="154" t="n"/>
      <c r="I20" s="154" t="n"/>
      <c r="J20" s="154" t="n"/>
      <c r="K20" s="154" t="n"/>
      <c r="L20" s="154" t="n"/>
      <c r="M20" s="154" t="n"/>
      <c r="N20" s="154" t="n"/>
      <c r="O20" s="154" t="n"/>
      <c r="P20" s="154" t="n"/>
      <c r="Q20" s="154" t="n"/>
      <c r="R20" s="154" t="n"/>
      <c r="S20" s="154" t="n"/>
      <c r="T20" s="154" t="n"/>
      <c r="U20" s="154" t="n"/>
      <c r="V20" s="154" t="n"/>
      <c r="W20" s="154" t="n"/>
      <c r="X20" s="154" t="n"/>
      <c r="Y20" s="154" t="n"/>
      <c r="Z20" s="154" t="n"/>
      <c r="AA20" s="154" t="n"/>
      <c r="AB20" s="154" t="n"/>
      <c r="AC20" s="154" t="n"/>
      <c r="AD20" s="154" t="n"/>
      <c r="AE20" s="154" t="n"/>
      <c r="AF20" s="154" t="n"/>
      <c r="AG20" s="154" t="n"/>
      <c r="AH20" s="154" t="n"/>
      <c r="AI20" s="154" t="n"/>
      <c r="AJ20" s="154" t="n"/>
      <c r="AK20" s="154" t="n"/>
      <c r="AL20" s="154" t="n"/>
      <c r="AM20" s="154" t="n"/>
      <c r="AN20" s="154" t="n"/>
      <c r="AO20" s="154" t="n"/>
    </row>
    <row r="21" ht="13.5" customHeight="1" s="86">
      <c r="A21" s="161" t="inlineStr">
        <is>
          <t xml:space="preserve">  TELECOMUNICACIONES</t>
        </is>
      </c>
      <c r="B21" s="98" t="n"/>
      <c r="C21" s="98" t="n"/>
      <c r="D21" s="98" t="n"/>
      <c r="E21" s="98" t="n"/>
      <c r="F21" s="98" t="n"/>
      <c r="G21" s="98" t="n"/>
      <c r="H21" s="98" t="n"/>
      <c r="I21" s="98" t="n"/>
      <c r="J21" s="98" t="n"/>
      <c r="K21" s="98" t="n"/>
      <c r="L21" s="98" t="n"/>
      <c r="M21" s="98" t="n"/>
      <c r="N21" s="98" t="n"/>
      <c r="O21" s="98" t="n"/>
      <c r="P21" s="98" t="n"/>
      <c r="Q21" s="98" t="n"/>
      <c r="R21" s="98" t="n"/>
      <c r="S21" s="98" t="n"/>
      <c r="T21" s="98" t="n"/>
      <c r="U21" s="98" t="n"/>
      <c r="V21" s="98" t="n"/>
      <c r="W21" s="98" t="n"/>
      <c r="X21" s="98" t="n"/>
      <c r="Y21" s="98" t="n"/>
      <c r="Z21" s="98" t="n"/>
      <c r="AA21" s="98" t="n"/>
      <c r="AB21" s="98" t="n"/>
      <c r="AC21" s="98" t="n"/>
      <c r="AD21" s="98" t="n"/>
      <c r="AE21" s="98" t="n"/>
      <c r="AF21" s="98" t="n"/>
      <c r="AG21" s="98" t="n"/>
      <c r="AH21" s="98" t="n"/>
      <c r="AI21" s="98" t="n"/>
      <c r="AJ21" s="98" t="n"/>
      <c r="AK21" s="98" t="n"/>
      <c r="AL21" s="98" t="n"/>
      <c r="AM21" s="98" t="n"/>
      <c r="AN21" s="98" t="n"/>
      <c r="AO21" s="98" t="n"/>
    </row>
    <row r="22" ht="13.5" customHeight="1" s="86">
      <c r="A22" s="147" t="n">
        <v>11</v>
      </c>
      <c r="B22" s="162" t="inlineStr">
        <is>
          <t>TELECOMUNICACIONES</t>
        </is>
      </c>
      <c r="C22" s="149">
        <f>'PLAN DE OBRA'!C21</f>
        <v/>
      </c>
      <c r="D22" s="150">
        <f>'PLAN DE OBRA'!D21</f>
        <v/>
      </c>
      <c r="E22" s="150">
        <f>'PLAN DE OBRA'!E21</f>
        <v/>
      </c>
      <c r="F22" s="151" t="n"/>
      <c r="G22" s="151" t="n"/>
      <c r="H22" s="151" t="n"/>
      <c r="I22" s="151" t="n"/>
      <c r="J22" s="151" t="n"/>
      <c r="K22" s="151" t="n"/>
      <c r="L22" s="151" t="n"/>
      <c r="M22" s="151" t="n"/>
      <c r="N22" s="151" t="n"/>
      <c r="O22" s="151" t="n"/>
      <c r="P22" s="151" t="n"/>
      <c r="Q22" s="151" t="n"/>
      <c r="R22" s="151" t="n"/>
      <c r="S22" s="151" t="n"/>
      <c r="T22" s="151" t="n"/>
      <c r="U22" s="151" t="n"/>
      <c r="V22" s="151" t="n"/>
      <c r="W22" s="151" t="n"/>
      <c r="X22" s="151" t="n"/>
      <c r="Y22" s="151" t="n"/>
      <c r="Z22" s="151" t="n"/>
      <c r="AA22" s="151" t="n"/>
      <c r="AB22" s="151" t="n"/>
      <c r="AC22" s="151" t="n"/>
      <c r="AD22" s="151" t="n"/>
      <c r="AE22" s="151" t="n"/>
      <c r="AF22" s="151" t="n"/>
      <c r="AG22" s="151" t="n"/>
      <c r="AH22" s="151" t="n"/>
      <c r="AI22" s="151" t="n"/>
      <c r="AJ22" s="151" t="n"/>
      <c r="AK22" s="151" t="n"/>
      <c r="AL22" s="151" t="n"/>
      <c r="AM22" s="151" t="n"/>
      <c r="AN22" s="151" t="n"/>
      <c r="AO22" s="151" t="n"/>
    </row>
    <row r="23" ht="13.5" customHeight="1" s="86">
      <c r="A23" s="163" t="inlineStr">
        <is>
          <t xml:space="preserve">  GAS</t>
        </is>
      </c>
      <c r="B23" s="98" t="n"/>
      <c r="C23" s="98" t="n"/>
      <c r="D23" s="98" t="n"/>
      <c r="E23" s="98" t="n"/>
      <c r="F23" s="98" t="n"/>
      <c r="G23" s="98" t="n"/>
      <c r="H23" s="98" t="n"/>
      <c r="I23" s="98" t="n"/>
      <c r="J23" s="98" t="n"/>
      <c r="K23" s="98" t="n"/>
      <c r="L23" s="98" t="n"/>
      <c r="M23" s="98" t="n"/>
      <c r="N23" s="98" t="n"/>
      <c r="O23" s="98" t="n"/>
      <c r="P23" s="98" t="n"/>
      <c r="Q23" s="98" t="n"/>
      <c r="R23" s="98" t="n"/>
      <c r="S23" s="98" t="n"/>
      <c r="T23" s="98" t="n"/>
      <c r="U23" s="98" t="n"/>
      <c r="V23" s="98" t="n"/>
      <c r="W23" s="98" t="n"/>
      <c r="X23" s="98" t="n"/>
      <c r="Y23" s="98" t="n"/>
      <c r="Z23" s="98" t="n"/>
      <c r="AA23" s="98" t="n"/>
      <c r="AB23" s="98" t="n"/>
      <c r="AC23" s="98" t="n"/>
      <c r="AD23" s="98" t="n"/>
      <c r="AE23" s="98" t="n"/>
      <c r="AF23" s="98" t="n"/>
      <c r="AG23" s="98" t="n"/>
      <c r="AH23" s="98" t="n"/>
      <c r="AI23" s="98" t="n"/>
      <c r="AJ23" s="98" t="n"/>
      <c r="AK23" s="98" t="n"/>
      <c r="AL23" s="98" t="n"/>
      <c r="AM23" s="98" t="n"/>
      <c r="AN23" s="98" t="n"/>
      <c r="AO23" s="98" t="n"/>
    </row>
    <row r="24" ht="13.5" customHeight="1" s="86">
      <c r="A24" s="152" t="n">
        <v>12</v>
      </c>
      <c r="B24" s="164" t="inlineStr">
        <is>
          <t>GAS</t>
        </is>
      </c>
      <c r="C24" s="153">
        <f>'PLAN DE OBRA'!C23</f>
        <v/>
      </c>
      <c r="D24" s="150">
        <f>'PLAN DE OBRA'!D23</f>
        <v/>
      </c>
      <c r="E24" s="150">
        <f>'PLAN DE OBRA'!E23</f>
        <v/>
      </c>
      <c r="F24" s="154" t="n"/>
      <c r="G24" s="154" t="n"/>
      <c r="H24" s="154" t="n"/>
      <c r="I24" s="154" t="n"/>
      <c r="J24" s="154" t="n"/>
      <c r="K24" s="154" t="n"/>
      <c r="L24" s="154" t="n"/>
      <c r="M24" s="154" t="n"/>
      <c r="N24" s="154" t="n"/>
      <c r="O24" s="154" t="n"/>
      <c r="P24" s="154" t="n"/>
      <c r="Q24" s="154" t="n"/>
      <c r="R24" s="154" t="n"/>
      <c r="S24" s="154" t="n"/>
      <c r="T24" s="154" t="n"/>
      <c r="U24" s="154" t="n"/>
      <c r="V24" s="154" t="n"/>
      <c r="W24" s="154" t="n"/>
      <c r="X24" s="154" t="n"/>
      <c r="Y24" s="154" t="n"/>
      <c r="Z24" s="154" t="n"/>
      <c r="AA24" s="154" t="n"/>
      <c r="AB24" s="154" t="n"/>
      <c r="AC24" s="154" t="n"/>
      <c r="AD24" s="154" t="n"/>
      <c r="AE24" s="154" t="n"/>
      <c r="AF24" s="154" t="n"/>
      <c r="AG24" s="154" t="n"/>
      <c r="AH24" s="154" t="n"/>
      <c r="AI24" s="154" t="n"/>
      <c r="AJ24" s="154" t="n"/>
      <c r="AK24" s="154" t="n"/>
      <c r="AL24" s="154" t="n"/>
      <c r="AM24" s="154" t="n"/>
      <c r="AN24" s="154" t="n"/>
      <c r="AO24" s="154" t="n"/>
    </row>
    <row r="25" ht="13.5" customHeight="1" s="86">
      <c r="A25" s="165" t="inlineStr">
        <is>
          <t xml:space="preserve">  URBANIZACIÓN</t>
        </is>
      </c>
      <c r="B25" s="98" t="n"/>
      <c r="C25" s="98" t="n"/>
      <c r="D25" s="98" t="n"/>
      <c r="E25" s="98" t="n"/>
      <c r="F25" s="98" t="n"/>
      <c r="G25" s="98" t="n"/>
      <c r="H25" s="98" t="n"/>
      <c r="I25" s="98" t="n"/>
      <c r="J25" s="98" t="n"/>
      <c r="K25" s="98" t="n"/>
      <c r="L25" s="98" t="n"/>
      <c r="M25" s="98" t="n"/>
      <c r="N25" s="98" t="n"/>
      <c r="O25" s="98" t="n"/>
      <c r="P25" s="98" t="n"/>
      <c r="Q25" s="98" t="n"/>
      <c r="R25" s="98" t="n"/>
      <c r="S25" s="98" t="n"/>
      <c r="T25" s="98" t="n"/>
      <c r="U25" s="98" t="n"/>
      <c r="V25" s="98" t="n"/>
      <c r="W25" s="98" t="n"/>
      <c r="X25" s="98" t="n"/>
      <c r="Y25" s="98" t="n"/>
      <c r="Z25" s="98" t="n"/>
      <c r="AA25" s="98" t="n"/>
      <c r="AB25" s="98" t="n"/>
      <c r="AC25" s="98" t="n"/>
      <c r="AD25" s="98" t="n"/>
      <c r="AE25" s="98" t="n"/>
      <c r="AF25" s="98" t="n"/>
      <c r="AG25" s="98" t="n"/>
      <c r="AH25" s="98" t="n"/>
      <c r="AI25" s="98" t="n"/>
      <c r="AJ25" s="98" t="n"/>
      <c r="AK25" s="98" t="n"/>
      <c r="AL25" s="98" t="n"/>
      <c r="AM25" s="98" t="n"/>
      <c r="AN25" s="98" t="n"/>
      <c r="AO25" s="98" t="n"/>
    </row>
    <row r="26" ht="13.5" customHeight="1" s="86">
      <c r="A26" s="147" t="n">
        <v>13</v>
      </c>
      <c r="B26" s="166" t="inlineStr">
        <is>
          <t>URBANIZACIÓN</t>
        </is>
      </c>
      <c r="C26" s="149">
        <f>'PLAN DE OBRA'!C25</f>
        <v/>
      </c>
      <c r="D26" s="150">
        <f>'PLAN DE OBRA'!D25</f>
        <v/>
      </c>
      <c r="E26" s="150">
        <f>'PLAN DE OBRA'!E25</f>
        <v/>
      </c>
      <c r="F26" s="151" t="n"/>
      <c r="G26" s="151" t="n"/>
      <c r="H26" s="151" t="n"/>
      <c r="I26" s="151" t="n"/>
      <c r="J26" s="151" t="n"/>
      <c r="K26" s="151" t="n"/>
      <c r="L26" s="151" t="n"/>
      <c r="M26" s="151" t="n"/>
      <c r="N26" s="151" t="n"/>
      <c r="O26" s="151" t="n"/>
      <c r="P26" s="151" t="n"/>
      <c r="Q26" s="151" t="n"/>
      <c r="R26" s="151" t="n"/>
      <c r="S26" s="151" t="n"/>
      <c r="T26" s="151" t="n"/>
      <c r="U26" s="151" t="n"/>
      <c r="V26" s="151" t="n"/>
      <c r="W26" s="151" t="n"/>
      <c r="X26" s="151" t="n"/>
      <c r="Y26" s="151" t="n"/>
      <c r="Z26" s="151" t="n"/>
      <c r="AA26" s="151" t="n"/>
      <c r="AB26" s="151" t="n"/>
      <c r="AC26" s="151" t="n"/>
      <c r="AD26" s="151" t="n"/>
      <c r="AE26" s="151" t="n"/>
      <c r="AF26" s="151" t="n"/>
      <c r="AG26" s="151" t="n"/>
      <c r="AH26" s="151" t="n"/>
      <c r="AI26" s="151" t="n"/>
      <c r="AJ26" s="151" t="n"/>
      <c r="AK26" s="151" t="n"/>
      <c r="AL26" s="151" t="n"/>
      <c r="AM26" s="151" t="n"/>
      <c r="AN26" s="151" t="n"/>
      <c r="AO26" s="151" t="n"/>
    </row>
    <row r="27" ht="13.5" customHeight="1" s="86">
      <c r="A27" s="152" t="n">
        <v>14</v>
      </c>
      <c r="B27" s="166" t="inlineStr">
        <is>
          <t>URBANIZACIÓN</t>
        </is>
      </c>
      <c r="C27" s="153">
        <f>'PLAN DE OBRA'!C26</f>
        <v/>
      </c>
      <c r="D27" s="150">
        <f>'PLAN DE OBRA'!D26</f>
        <v/>
      </c>
      <c r="E27" s="150">
        <f>'PLAN DE OBRA'!E26</f>
        <v/>
      </c>
      <c r="F27" s="154" t="n"/>
      <c r="G27" s="154" t="n"/>
      <c r="H27" s="154" t="n"/>
      <c r="I27" s="154" t="n"/>
      <c r="J27" s="154" t="n"/>
      <c r="K27" s="154" t="n"/>
      <c r="L27" s="154" t="n"/>
      <c r="M27" s="154" t="n"/>
      <c r="N27" s="154" t="n"/>
      <c r="O27" s="154" t="n"/>
      <c r="P27" s="154" t="n"/>
      <c r="Q27" s="154" t="n"/>
      <c r="R27" s="154" t="n"/>
      <c r="S27" s="154" t="n"/>
      <c r="T27" s="154" t="n"/>
      <c r="U27" s="154" t="n"/>
      <c r="V27" s="154" t="n"/>
      <c r="W27" s="154" t="n"/>
      <c r="X27" s="154" t="n"/>
      <c r="Y27" s="154" t="n"/>
      <c r="Z27" s="154" t="n"/>
      <c r="AA27" s="154" t="n"/>
      <c r="AB27" s="154" t="n"/>
      <c r="AC27" s="154" t="n"/>
      <c r="AD27" s="154" t="n"/>
      <c r="AE27" s="154" t="n"/>
      <c r="AF27" s="154" t="n"/>
      <c r="AG27" s="154" t="n"/>
      <c r="AH27" s="154" t="n"/>
      <c r="AI27" s="154" t="n"/>
      <c r="AJ27" s="154" t="n"/>
      <c r="AK27" s="154" t="n"/>
      <c r="AL27" s="154" t="n"/>
      <c r="AM27" s="154" t="n"/>
      <c r="AN27" s="154" t="n"/>
      <c r="AO27" s="154" t="n"/>
    </row>
    <row r="28" ht="13.5" customHeight="1" s="86">
      <c r="A28" s="147" t="n">
        <v>15</v>
      </c>
      <c r="B28" s="166" t="inlineStr">
        <is>
          <t>URBANIZACIÓN</t>
        </is>
      </c>
      <c r="C28" s="149">
        <f>'PLAN DE OBRA'!C27</f>
        <v/>
      </c>
      <c r="D28" s="150">
        <f>'PLAN DE OBRA'!D27</f>
        <v/>
      </c>
      <c r="E28" s="150">
        <f>'PLAN DE OBRA'!E27</f>
        <v/>
      </c>
      <c r="F28" s="151" t="n"/>
      <c r="G28" s="151" t="n"/>
      <c r="H28" s="151" t="n"/>
      <c r="I28" s="151" t="n"/>
      <c r="J28" s="151" t="n"/>
      <c r="K28" s="151" t="n"/>
      <c r="L28" s="151" t="n"/>
      <c r="M28" s="151" t="n"/>
      <c r="N28" s="151" t="n"/>
      <c r="O28" s="151" t="n"/>
      <c r="P28" s="151" t="n"/>
      <c r="Q28" s="151" t="n"/>
      <c r="R28" s="151" t="n"/>
      <c r="S28" s="151" t="n"/>
      <c r="T28" s="151" t="n"/>
      <c r="U28" s="151" t="n"/>
      <c r="V28" s="151" t="n"/>
      <c r="W28" s="151" t="n"/>
      <c r="X28" s="151" t="n"/>
      <c r="Y28" s="151" t="n"/>
      <c r="Z28" s="151" t="n"/>
      <c r="AA28" s="151" t="n"/>
      <c r="AB28" s="151" t="n"/>
      <c r="AC28" s="151" t="n"/>
      <c r="AD28" s="151" t="n"/>
      <c r="AE28" s="151" t="n"/>
      <c r="AF28" s="151" t="n"/>
      <c r="AG28" s="151" t="n"/>
      <c r="AH28" s="151" t="n"/>
      <c r="AI28" s="151" t="n"/>
      <c r="AJ28" s="151" t="n"/>
      <c r="AK28" s="151" t="n"/>
      <c r="AL28" s="151" t="n"/>
      <c r="AM28" s="151" t="n"/>
      <c r="AN28" s="151" t="n"/>
      <c r="AO28" s="151" t="n"/>
    </row>
    <row r="29" ht="13.5" customHeight="1" s="86">
      <c r="A29" s="152" t="n">
        <v>16</v>
      </c>
      <c r="B29" s="166" t="inlineStr">
        <is>
          <t>URBANIZACIÓN</t>
        </is>
      </c>
      <c r="C29" s="153">
        <f>'PLAN DE OBRA'!C28</f>
        <v/>
      </c>
      <c r="D29" s="150">
        <f>'PLAN DE OBRA'!D28</f>
        <v/>
      </c>
      <c r="E29" s="150">
        <f>'PLAN DE OBRA'!E28</f>
        <v/>
      </c>
      <c r="F29" s="154" t="n"/>
      <c r="G29" s="154" t="n"/>
      <c r="H29" s="154" t="n"/>
      <c r="I29" s="154" t="n"/>
      <c r="J29" s="154" t="n"/>
      <c r="K29" s="154" t="n"/>
      <c r="L29" s="154" t="n"/>
      <c r="M29" s="154" t="n"/>
      <c r="N29" s="154" t="n"/>
      <c r="O29" s="154" t="n"/>
      <c r="P29" s="154" t="n"/>
      <c r="Q29" s="154" t="n"/>
      <c r="R29" s="154" t="n"/>
      <c r="S29" s="154" t="n"/>
      <c r="T29" s="154" t="n"/>
      <c r="U29" s="154" t="n"/>
      <c r="V29" s="154" t="n"/>
      <c r="W29" s="154" t="n"/>
      <c r="X29" s="154" t="n"/>
      <c r="Y29" s="154" t="n"/>
      <c r="Z29" s="154" t="n"/>
      <c r="AA29" s="154" t="n"/>
      <c r="AB29" s="154" t="n"/>
      <c r="AC29" s="154" t="n"/>
      <c r="AD29" s="154" t="n"/>
      <c r="AE29" s="154" t="n"/>
      <c r="AF29" s="154" t="n"/>
      <c r="AG29" s="154" t="n"/>
      <c r="AH29" s="154" t="n"/>
      <c r="AI29" s="154" t="n"/>
      <c r="AJ29" s="154" t="n"/>
      <c r="AK29" s="154" t="n"/>
      <c r="AL29" s="154" t="n"/>
      <c r="AM29" s="154" t="n"/>
      <c r="AN29" s="154" t="n"/>
      <c r="AO29" s="154" t="n"/>
    </row>
    <row r="30" ht="13.5" customHeight="1" s="86">
      <c r="A30" s="147" t="n">
        <v>17</v>
      </c>
      <c r="B30" s="166" t="inlineStr">
        <is>
          <t>URBANIZACIÓN</t>
        </is>
      </c>
      <c r="C30" s="149">
        <f>'PLAN DE OBRA'!C29</f>
        <v/>
      </c>
      <c r="D30" s="150">
        <f>'PLAN DE OBRA'!D29</f>
        <v/>
      </c>
      <c r="E30" s="150">
        <f>'PLAN DE OBRA'!E29</f>
        <v/>
      </c>
      <c r="F30" s="151" t="n"/>
      <c r="G30" s="151" t="n"/>
      <c r="H30" s="151" t="n"/>
      <c r="I30" s="151" t="n"/>
      <c r="J30" s="151" t="n"/>
      <c r="K30" s="151" t="n"/>
      <c r="L30" s="151" t="n"/>
      <c r="M30" s="151" t="n"/>
      <c r="N30" s="151" t="n"/>
      <c r="O30" s="151" t="n"/>
      <c r="P30" s="151" t="n"/>
      <c r="Q30" s="151" t="n"/>
      <c r="R30" s="151" t="n"/>
      <c r="S30" s="151" t="n"/>
      <c r="T30" s="151" t="n"/>
      <c r="U30" s="151" t="n"/>
      <c r="V30" s="151" t="n"/>
      <c r="W30" s="151" t="n"/>
      <c r="X30" s="151" t="n"/>
      <c r="Y30" s="151" t="n"/>
      <c r="Z30" s="151" t="n"/>
      <c r="AA30" s="151" t="n"/>
      <c r="AB30" s="151" t="n"/>
      <c r="AC30" s="151" t="n"/>
      <c r="AD30" s="151" t="n"/>
      <c r="AE30" s="151" t="n"/>
      <c r="AF30" s="151" t="n"/>
      <c r="AG30" s="151" t="n"/>
      <c r="AH30" s="151" t="n"/>
      <c r="AI30" s="151" t="n"/>
      <c r="AJ30" s="151" t="n"/>
      <c r="AK30" s="151" t="n"/>
      <c r="AL30" s="151" t="n"/>
      <c r="AM30" s="151" t="n"/>
      <c r="AN30" s="151" t="n"/>
      <c r="AO30" s="151" t="n"/>
    </row>
    <row r="31" ht="13.5" customHeight="1" s="86">
      <c r="A31" s="167" t="inlineStr">
        <is>
          <t xml:space="preserve">  CONTROL/GESTIÓN</t>
        </is>
      </c>
      <c r="B31" s="98" t="n"/>
      <c r="C31" s="98" t="n"/>
      <c r="D31" s="98" t="n"/>
      <c r="E31" s="98" t="n"/>
      <c r="F31" s="98" t="n"/>
      <c r="G31" s="98" t="n"/>
      <c r="H31" s="98" t="n"/>
      <c r="I31" s="98" t="n"/>
      <c r="J31" s="98" t="n"/>
      <c r="K31" s="98" t="n"/>
      <c r="L31" s="98" t="n"/>
      <c r="M31" s="98" t="n"/>
      <c r="N31" s="98" t="n"/>
      <c r="O31" s="98" t="n"/>
      <c r="P31" s="98" t="n"/>
      <c r="Q31" s="98" t="n"/>
      <c r="R31" s="98" t="n"/>
      <c r="S31" s="98" t="n"/>
      <c r="T31" s="98" t="n"/>
      <c r="U31" s="98" t="n"/>
      <c r="V31" s="98" t="n"/>
      <c r="W31" s="98" t="n"/>
      <c r="X31" s="98" t="n"/>
      <c r="Y31" s="98" t="n"/>
      <c r="Z31" s="98" t="n"/>
      <c r="AA31" s="98" t="n"/>
      <c r="AB31" s="98" t="n"/>
      <c r="AC31" s="98" t="n"/>
      <c r="AD31" s="98" t="n"/>
      <c r="AE31" s="98" t="n"/>
      <c r="AF31" s="98" t="n"/>
      <c r="AG31" s="98" t="n"/>
      <c r="AH31" s="98" t="n"/>
      <c r="AI31" s="98" t="n"/>
      <c r="AJ31" s="98" t="n"/>
      <c r="AK31" s="98" t="n"/>
      <c r="AL31" s="98" t="n"/>
      <c r="AM31" s="98" t="n"/>
      <c r="AN31" s="98" t="n"/>
      <c r="AO31" s="98" t="n"/>
    </row>
    <row r="32" ht="13.5" customHeight="1" s="86">
      <c r="A32" s="152" t="n">
        <v>18</v>
      </c>
      <c r="B32" s="168" t="inlineStr">
        <is>
          <t>CONTROL/GESTIÓN</t>
        </is>
      </c>
      <c r="C32" s="153">
        <f>'PLAN DE OBRA'!C31</f>
        <v/>
      </c>
      <c r="D32" s="150">
        <f>'PLAN DE OBRA'!D31</f>
        <v/>
      </c>
      <c r="E32" s="150">
        <f>'PLAN DE OBRA'!E31</f>
        <v/>
      </c>
      <c r="F32" s="154" t="n"/>
      <c r="G32" s="154" t="n"/>
      <c r="H32" s="154" t="n"/>
      <c r="I32" s="154" t="n"/>
      <c r="J32" s="154" t="n"/>
      <c r="K32" s="154" t="n"/>
      <c r="L32" s="154" t="n"/>
      <c r="M32" s="154" t="n"/>
      <c r="N32" s="154" t="n"/>
      <c r="O32" s="154" t="n"/>
      <c r="P32" s="154" t="n"/>
      <c r="Q32" s="154" t="n"/>
      <c r="R32" s="154" t="n"/>
      <c r="S32" s="154" t="n"/>
      <c r="T32" s="154" t="n"/>
      <c r="U32" s="154" t="n"/>
      <c r="V32" s="154" t="n"/>
      <c r="W32" s="154" t="n"/>
      <c r="X32" s="154" t="n"/>
      <c r="Y32" s="154" t="n"/>
      <c r="Z32" s="154" t="n"/>
      <c r="AA32" s="154" t="n"/>
      <c r="AB32" s="154" t="n"/>
      <c r="AC32" s="154" t="n"/>
      <c r="AD32" s="154" t="n"/>
      <c r="AE32" s="154" t="n"/>
      <c r="AF32" s="154" t="n"/>
      <c r="AG32" s="154" t="n"/>
      <c r="AH32" s="154" t="n"/>
      <c r="AI32" s="154" t="n"/>
      <c r="AJ32" s="154" t="n"/>
      <c r="AK32" s="154" t="n"/>
      <c r="AL32" s="154" t="n"/>
      <c r="AM32" s="154" t="n"/>
      <c r="AN32" s="154" t="n"/>
      <c r="AO32" s="154" t="n"/>
    </row>
    <row r="33" ht="13.5" customHeight="1" s="86">
      <c r="A33" s="147" t="n">
        <v>19</v>
      </c>
      <c r="B33" s="168" t="inlineStr">
        <is>
          <t>CONTROL/GESTIÓN</t>
        </is>
      </c>
      <c r="C33" s="149">
        <f>'PLAN DE OBRA'!C32</f>
        <v/>
      </c>
      <c r="D33" s="150">
        <f>'PLAN DE OBRA'!D32</f>
        <v/>
      </c>
      <c r="E33" s="150">
        <f>'PLAN DE OBRA'!E32</f>
        <v/>
      </c>
      <c r="F33" s="151" t="n"/>
      <c r="G33" s="151" t="n"/>
      <c r="H33" s="151" t="n"/>
      <c r="I33" s="151" t="n"/>
      <c r="J33" s="151" t="n"/>
      <c r="K33" s="151" t="n"/>
      <c r="L33" s="151" t="n"/>
      <c r="M33" s="151" t="n"/>
      <c r="N33" s="151" t="n"/>
      <c r="O33" s="151" t="n"/>
      <c r="P33" s="151" t="n"/>
      <c r="Q33" s="151" t="n"/>
      <c r="R33" s="151" t="n"/>
      <c r="S33" s="151" t="n"/>
      <c r="T33" s="151" t="n"/>
      <c r="U33" s="151" t="n"/>
      <c r="V33" s="151" t="n"/>
      <c r="W33" s="151" t="n"/>
      <c r="X33" s="151" t="n"/>
      <c r="Y33" s="151" t="n"/>
      <c r="Z33" s="151" t="n"/>
      <c r="AA33" s="151" t="n"/>
      <c r="AB33" s="151" t="n"/>
      <c r="AC33" s="151" t="n"/>
      <c r="AD33" s="151" t="n"/>
      <c r="AE33" s="151" t="n"/>
      <c r="AF33" s="151" t="n"/>
      <c r="AG33" s="151" t="n"/>
      <c r="AH33" s="151" t="n"/>
      <c r="AI33" s="151" t="n"/>
      <c r="AJ33" s="151" t="n"/>
      <c r="AK33" s="151" t="n"/>
      <c r="AL33" s="151" t="n"/>
      <c r="AM33" s="151" t="n"/>
      <c r="AN33" s="151" t="n"/>
      <c r="AO33" s="151" t="n"/>
    </row>
  </sheetData>
  <mergeCells count="19">
    <mergeCell ref="A31:AO31"/>
    <mergeCell ref="J4:L4"/>
    <mergeCell ref="A15:AO15"/>
    <mergeCell ref="A1:AO1"/>
    <mergeCell ref="Z4:AB4"/>
    <mergeCell ref="A3:E3"/>
    <mergeCell ref="A25:AO25"/>
    <mergeCell ref="A7:AO7"/>
    <mergeCell ref="AD4:AF4"/>
    <mergeCell ref="F4:H4"/>
    <mergeCell ref="N4:P4"/>
    <mergeCell ref="A21:AO21"/>
    <mergeCell ref="A12:AO12"/>
    <mergeCell ref="A2:AO2"/>
    <mergeCell ref="R4:T4"/>
    <mergeCell ref="A23:AO23"/>
    <mergeCell ref="V4:X4"/>
    <mergeCell ref="A17:AO17"/>
    <mergeCell ref="AH4:AJ4"/>
  </mergeCells>
  <conditionalFormatting sqref="F8:AO8">
    <cfRule type="expression" rank="0" priority="2" equalAverage="0" aboveAverage="0" dxfId="0" text="" percent="0" bottom="0">
      <formula>AND(F$6&gt;=$D8,F$6&lt;=$D8+$E8-1,F$6&lt;=PARÁMETROS!$C$9)</formula>
    </cfRule>
    <cfRule type="expression" rank="0" priority="3" equalAverage="0" aboveAverage="0" dxfId="1" text="" percent="0" bottom="0">
      <formula>F$6&gt;PARÁMETROS!$C$9</formula>
    </cfRule>
  </conditionalFormatting>
  <conditionalFormatting sqref="F9:AO9">
    <cfRule type="expression" rank="0" priority="4" equalAverage="0" aboveAverage="0" dxfId="0" text="" percent="0" bottom="0">
      <formula>AND(F$6&gt;=$D9,F$6&lt;=$D9+$E9-1,F$6&lt;=PARÁMETROS!$C$9)</formula>
    </cfRule>
    <cfRule type="expression" rank="0" priority="5" equalAverage="0" aboveAverage="0" dxfId="1" text="" percent="0" bottom="0">
      <formula>F$6&gt;PARÁMETROS!$C$9</formula>
    </cfRule>
  </conditionalFormatting>
  <conditionalFormatting sqref="F10:AO10">
    <cfRule type="expression" rank="0" priority="6" equalAverage="0" aboveAverage="0" dxfId="0" text="" percent="0" bottom="0">
      <formula>AND(F$6&gt;=$D10,F$6&lt;=$D10+$E10-1,F$6&lt;=PARÁMETROS!$C$9)</formula>
    </cfRule>
    <cfRule type="expression" rank="0" priority="7" equalAverage="0" aboveAverage="0" dxfId="1" text="" percent="0" bottom="0">
      <formula>F$6&gt;PARÁMETROS!$C$9</formula>
    </cfRule>
  </conditionalFormatting>
  <conditionalFormatting sqref="F11:AO11">
    <cfRule type="expression" rank="0" priority="8" equalAverage="0" aboveAverage="0" dxfId="0" text="" percent="0" bottom="0">
      <formula>AND(F$6&gt;=$D11,F$6&lt;=$D11+$E11-1,F$6&lt;=PARÁMETROS!$C$9)</formula>
    </cfRule>
    <cfRule type="expression" rank="0" priority="9" equalAverage="0" aboveAverage="0" dxfId="1" text="" percent="0" bottom="0">
      <formula>F$6&gt;PARÁMETROS!$C$9</formula>
    </cfRule>
  </conditionalFormatting>
  <conditionalFormatting sqref="F13:AO13">
    <cfRule type="expression" rank="0" priority="10" equalAverage="0" aboveAverage="0" dxfId="2" text="" percent="0" bottom="0">
      <formula>AND(F$6&gt;=$D13,F$6&lt;=$D13+$E13-1,F$6&lt;=PARÁMETROS!$C$9)</formula>
    </cfRule>
    <cfRule type="expression" rank="0" priority="11" equalAverage="0" aboveAverage="0" dxfId="1" text="" percent="0" bottom="0">
      <formula>F$6&gt;PARÁMETROS!$C$9</formula>
    </cfRule>
  </conditionalFormatting>
  <conditionalFormatting sqref="F14:AO14">
    <cfRule type="expression" rank="0" priority="12" equalAverage="0" aboveAverage="0" dxfId="2" text="" percent="0" bottom="0">
      <formula>AND(F$6&gt;=$D14,F$6&lt;=$D14+$E14-1,F$6&lt;=PARÁMETROS!$C$9)</formula>
    </cfRule>
    <cfRule type="expression" rank="0" priority="13" equalAverage="0" aboveAverage="0" dxfId="1" text="" percent="0" bottom="0">
      <formula>F$6&gt;PARÁMETROS!$C$9</formula>
    </cfRule>
  </conditionalFormatting>
  <conditionalFormatting sqref="F16:AO16">
    <cfRule type="expression" rank="0" priority="14" equalAverage="0" aboveAverage="0" dxfId="3" text="" percent="0" bottom="0">
      <formula>AND(F$6&gt;=$D16,F$6&lt;=$D16+$E16-1,F$6&lt;=PARÁMETROS!$C$9)</formula>
    </cfRule>
    <cfRule type="expression" rank="0" priority="15" equalAverage="0" aboveAverage="0" dxfId="1" text="" percent="0" bottom="0">
      <formula>F$6&gt;PARÁMETROS!$C$9</formula>
    </cfRule>
  </conditionalFormatting>
  <conditionalFormatting sqref="F18:AO18">
    <cfRule type="expression" rank="0" priority="16" equalAverage="0" aboveAverage="0" dxfId="4" text="" percent="0" bottom="0">
      <formula>AND(F$6&gt;=$D18,F$6&lt;=$D18+$E18-1,F$6&lt;=PARÁMETROS!$C$9)</formula>
    </cfRule>
    <cfRule type="expression" rank="0" priority="17" equalAverage="0" aboveAverage="0" dxfId="1" text="" percent="0" bottom="0">
      <formula>F$6&gt;PARÁMETROS!$C$9</formula>
    </cfRule>
  </conditionalFormatting>
  <conditionalFormatting sqref="F19:AO19">
    <cfRule type="expression" rank="0" priority="18" equalAverage="0" aboveAverage="0" dxfId="4" text="" percent="0" bottom="0">
      <formula>AND(F$6&gt;=$D19,F$6&lt;=$D19+$E19-1,F$6&lt;=PARÁMETROS!$C$9)</formula>
    </cfRule>
    <cfRule type="expression" rank="0" priority="19" equalAverage="0" aboveAverage="0" dxfId="1" text="" percent="0" bottom="0">
      <formula>F$6&gt;PARÁMETROS!$C$9</formula>
    </cfRule>
  </conditionalFormatting>
  <conditionalFormatting sqref="F20:AO20">
    <cfRule type="expression" rank="0" priority="20" equalAverage="0" aboveAverage="0" dxfId="4" text="" percent="0" bottom="0">
      <formula>AND(F$6&gt;=$D20,F$6&lt;=$D20+$E20-1,F$6&lt;=PARÁMETROS!$C$9)</formula>
    </cfRule>
    <cfRule type="expression" rank="0" priority="21" equalAverage="0" aboveAverage="0" dxfId="1" text="" percent="0" bottom="0">
      <formula>F$6&gt;PARÁMETROS!$C$9</formula>
    </cfRule>
  </conditionalFormatting>
  <conditionalFormatting sqref="F22:AO22">
    <cfRule type="expression" rank="0" priority="22" equalAverage="0" aboveAverage="0" dxfId="5" text="" percent="0" bottom="0">
      <formula>AND(F$6&gt;=$D22,F$6&lt;=$D22+$E22-1,F$6&lt;=PARÁMETROS!$C$9)</formula>
    </cfRule>
    <cfRule type="expression" rank="0" priority="23" equalAverage="0" aboveAverage="0" dxfId="1" text="" percent="0" bottom="0">
      <formula>F$6&gt;PARÁMETROS!$C$9</formula>
    </cfRule>
  </conditionalFormatting>
  <conditionalFormatting sqref="F24:AO24">
    <cfRule type="expression" rank="0" priority="24" equalAverage="0" aboveAverage="0" dxfId="6" text="" percent="0" bottom="0">
      <formula>AND(F$6&gt;=$D24,F$6&lt;=$D24+$E24-1,F$6&lt;=PARÁMETROS!$C$9)</formula>
    </cfRule>
    <cfRule type="expression" rank="0" priority="25" equalAverage="0" aboveAverage="0" dxfId="1" text="" percent="0" bottom="0">
      <formula>F$6&gt;PARÁMETROS!$C$9</formula>
    </cfRule>
  </conditionalFormatting>
  <conditionalFormatting sqref="F26:AO26">
    <cfRule type="expression" rank="0" priority="26" equalAverage="0" aboveAverage="0" dxfId="7" text="" percent="0" bottom="0">
      <formula>AND(F$6&gt;=$D26,F$6&lt;=$D26+$E26-1,F$6&lt;=PARÁMETROS!$C$9)</formula>
    </cfRule>
    <cfRule type="expression" rank="0" priority="27" equalAverage="0" aboveAverage="0" dxfId="1" text="" percent="0" bottom="0">
      <formula>F$6&gt;PARÁMETROS!$C$9</formula>
    </cfRule>
  </conditionalFormatting>
  <conditionalFormatting sqref="F27:AO27">
    <cfRule type="expression" rank="0" priority="28" equalAverage="0" aboveAverage="0" dxfId="7" text="" percent="0" bottom="0">
      <formula>AND(F$6&gt;=$D27,F$6&lt;=$D27+$E27-1,F$6&lt;=PARÁMETROS!$C$9)</formula>
    </cfRule>
    <cfRule type="expression" rank="0" priority="29" equalAverage="0" aboveAverage="0" dxfId="1" text="" percent="0" bottom="0">
      <formula>F$6&gt;PARÁMETROS!$C$9</formula>
    </cfRule>
  </conditionalFormatting>
  <conditionalFormatting sqref="F28:AO28">
    <cfRule type="expression" rank="0" priority="30" equalAverage="0" aboveAverage="0" dxfId="7" text="" percent="0" bottom="0">
      <formula>AND(F$6&gt;=$D28,F$6&lt;=$D28+$E28-1,F$6&lt;=PARÁMETROS!$C$9)</formula>
    </cfRule>
    <cfRule type="expression" rank="0" priority="31" equalAverage="0" aboveAverage="0" dxfId="1" text="" percent="0" bottom="0">
      <formula>F$6&gt;PARÁMETROS!$C$9</formula>
    </cfRule>
  </conditionalFormatting>
  <conditionalFormatting sqref="F29:AO29">
    <cfRule type="expression" rank="0" priority="32" equalAverage="0" aboveAverage="0" dxfId="7" text="" percent="0" bottom="0">
      <formula>AND(F$6&gt;=$D29,F$6&lt;=$D29+$E29-1,F$6&lt;=PARÁMETROS!$C$9)</formula>
    </cfRule>
    <cfRule type="expression" rank="0" priority="33" equalAverage="0" aboveAverage="0" dxfId="1" text="" percent="0" bottom="0">
      <formula>F$6&gt;PARÁMETROS!$C$9</formula>
    </cfRule>
  </conditionalFormatting>
  <conditionalFormatting sqref="F30:AO30">
    <cfRule type="expression" rank="0" priority="34" equalAverage="0" aboveAverage="0" dxfId="7" text="" percent="0" bottom="0">
      <formula>AND(F$6&gt;=$D30,F$6&lt;=$D30+$E30-1,F$6&lt;=PARÁMETROS!$C$9)</formula>
    </cfRule>
    <cfRule type="expression" rank="0" priority="35" equalAverage="0" aboveAverage="0" dxfId="1" text="" percent="0" bottom="0">
      <formula>F$6&gt;PARÁMETROS!$C$9</formula>
    </cfRule>
  </conditionalFormatting>
  <conditionalFormatting sqref="F32:AO32">
    <cfRule type="expression" rank="0" priority="36" equalAverage="0" aboveAverage="0" dxfId="8" text="" percent="0" bottom="0">
      <formula>AND(F$6&gt;=$D32,F$6&lt;=$D32+$E32-1,F$6&lt;=PARÁMETROS!$C$9)</formula>
    </cfRule>
    <cfRule type="expression" rank="0" priority="37" equalAverage="0" aboveAverage="0" dxfId="1" text="" percent="0" bottom="0">
      <formula>F$6&gt;PARÁMETROS!$C$9</formula>
    </cfRule>
  </conditionalFormatting>
  <conditionalFormatting sqref="F33:AO33">
    <cfRule type="expression" rank="0" priority="38" equalAverage="0" aboveAverage="0" dxfId="8" text="" percent="0" bottom="0">
      <formula>AND(F$6&gt;=$D33,F$6&lt;=$D33+$E33-1,F$6&lt;=PARÁMETROS!$C$9)</formula>
    </cfRule>
    <cfRule type="expression" rank="0" priority="39" equalAverage="0" aboveAverage="0" dxfId="1" text="" percent="0" bottom="0">
      <formula>F$6&gt;PARÁMETROS!$C$9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L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85" min="1" max="1"/>
    <col width="40" customWidth="1" style="85" min="2" max="2"/>
    <col width="7" customWidth="1" style="85" min="3" max="38"/>
  </cols>
  <sheetData>
    <row r="1" ht="25.5" customHeight="1" s="86">
      <c r="A1" s="169" t="inlineStr">
        <is>
          <t>DISTRIBUCIÓN DE INVERSIÓN MENSUAL — CERTIFICACIONES PREVISTAS</t>
        </is>
      </c>
    </row>
    <row r="2" ht="36" customHeight="1" s="86">
      <c r="A2" s="170" t="inlineStr">
        <is>
          <t>✔ Completado 10/04/2026. Distribución basada en Gantt (Plan de Obra) y BC3 (535.2.bc3). PEM = 3.737.657,65 €. NOTA: Electricidad, Telecomunicaciones y Gas no figuran en el BC3 civil → inversión = 0.</t>
        </is>
      </c>
    </row>
    <row r="4" ht="18" customHeight="1" s="86">
      <c r="A4" s="105" t="inlineStr">
        <is>
          <t>ESTRUCTURA PREVISTA (a rellenar con presupuesto)</t>
        </is>
      </c>
    </row>
    <row r="5" ht="24" customHeight="1" s="86">
      <c r="B5" s="107" t="inlineStr">
        <is>
          <t>CAPÍTULO / CATEGORÍA</t>
        </is>
      </c>
      <c r="C5" s="144" t="inlineStr">
        <is>
          <t>M1</t>
        </is>
      </c>
      <c r="D5" s="144" t="inlineStr">
        <is>
          <t>M2</t>
        </is>
      </c>
      <c r="E5" s="144" t="inlineStr">
        <is>
          <t>M3</t>
        </is>
      </c>
      <c r="F5" s="144" t="inlineStr">
        <is>
          <t>M4</t>
        </is>
      </c>
      <c r="G5" s="144" t="inlineStr">
        <is>
          <t>M5</t>
        </is>
      </c>
      <c r="H5" s="144" t="inlineStr">
        <is>
          <t>M6</t>
        </is>
      </c>
      <c r="I5" s="144" t="inlineStr">
        <is>
          <t>M7</t>
        </is>
      </c>
      <c r="J5" s="144" t="inlineStr">
        <is>
          <t>M8</t>
        </is>
      </c>
      <c r="K5" s="144" t="inlineStr">
        <is>
          <t>M9</t>
        </is>
      </c>
      <c r="L5" s="144" t="inlineStr">
        <is>
          <t>M10</t>
        </is>
      </c>
      <c r="M5" s="144" t="inlineStr">
        <is>
          <t>M11</t>
        </is>
      </c>
      <c r="N5" s="144" t="inlineStr">
        <is>
          <t>M12</t>
        </is>
      </c>
      <c r="O5" s="144" t="inlineStr">
        <is>
          <t>M13</t>
        </is>
      </c>
      <c r="P5" s="144" t="inlineStr">
        <is>
          <t>M14</t>
        </is>
      </c>
      <c r="Q5" s="144" t="inlineStr">
        <is>
          <t>M15</t>
        </is>
      </c>
      <c r="R5" s="144" t="inlineStr">
        <is>
          <t>M16</t>
        </is>
      </c>
      <c r="S5" s="144" t="inlineStr">
        <is>
          <t>M17</t>
        </is>
      </c>
      <c r="T5" s="144" t="inlineStr">
        <is>
          <t>M18</t>
        </is>
      </c>
      <c r="U5" s="144" t="inlineStr">
        <is>
          <t>M19</t>
        </is>
      </c>
      <c r="V5" s="144" t="inlineStr">
        <is>
          <t>M20</t>
        </is>
      </c>
      <c r="W5" s="144" t="inlineStr">
        <is>
          <t>M21</t>
        </is>
      </c>
      <c r="X5" s="144" t="inlineStr">
        <is>
          <t>M22</t>
        </is>
      </c>
      <c r="Y5" s="144" t="inlineStr">
        <is>
          <t>M23</t>
        </is>
      </c>
      <c r="Z5" s="144" t="inlineStr">
        <is>
          <t>M24</t>
        </is>
      </c>
      <c r="AA5" s="144" t="inlineStr">
        <is>
          <t>M25</t>
        </is>
      </c>
      <c r="AB5" s="144" t="inlineStr">
        <is>
          <t>M26</t>
        </is>
      </c>
      <c r="AC5" s="144" t="inlineStr">
        <is>
          <t>M27</t>
        </is>
      </c>
      <c r="AD5" s="144" t="inlineStr">
        <is>
          <t>M28</t>
        </is>
      </c>
      <c r="AE5" s="144" t="inlineStr">
        <is>
          <t>M29</t>
        </is>
      </c>
      <c r="AF5" s="144" t="inlineStr">
        <is>
          <t>M30</t>
        </is>
      </c>
      <c r="AG5" s="144" t="inlineStr">
        <is>
          <t>M31</t>
        </is>
      </c>
      <c r="AH5" s="144" t="inlineStr">
        <is>
          <t>M32</t>
        </is>
      </c>
      <c r="AI5" s="144" t="inlineStr">
        <is>
          <t>M33</t>
        </is>
      </c>
      <c r="AJ5" s="144" t="inlineStr">
        <is>
          <t>M34</t>
        </is>
      </c>
      <c r="AK5" s="144" t="inlineStr">
        <is>
          <t>M35</t>
        </is>
      </c>
      <c r="AL5" s="144" t="inlineStr">
        <is>
          <t>M36</t>
        </is>
      </c>
    </row>
    <row r="6" ht="15.75" customHeight="1" s="86">
      <c r="B6" s="110" t="inlineStr">
        <is>
          <t>OBRA CIVIL</t>
        </is>
      </c>
      <c r="C6" s="171" t="n">
        <v>73273.06</v>
      </c>
      <c r="D6" s="171" t="n">
        <v>73273.06</v>
      </c>
      <c r="E6" s="171" t="n">
        <v>56209.64</v>
      </c>
      <c r="F6" s="171" t="n">
        <v>56209.64</v>
      </c>
      <c r="G6" s="171" t="n">
        <v>56209.64</v>
      </c>
      <c r="H6" s="171" t="n">
        <v>56209.64</v>
      </c>
      <c r="I6" s="171" t="n">
        <v>56209.64</v>
      </c>
      <c r="J6" s="171" t="n">
        <v>56209.64</v>
      </c>
      <c r="K6" s="171" t="n">
        <v>307642.53</v>
      </c>
      <c r="L6" s="171" t="n">
        <v>307642.53</v>
      </c>
      <c r="M6" s="171" t="n">
        <v>307642.53</v>
      </c>
      <c r="N6" s="171" t="n">
        <v>307642.53</v>
      </c>
      <c r="O6" s="171" t="n">
        <v>307642.53</v>
      </c>
      <c r="P6" s="171" t="n">
        <v>307642.53</v>
      </c>
      <c r="Q6" s="171" t="n">
        <v>307642.53</v>
      </c>
      <c r="R6" s="171" t="n">
        <v>0</v>
      </c>
      <c r="S6" s="171" t="n">
        <v>0</v>
      </c>
      <c r="T6" s="171" t="n">
        <v>0</v>
      </c>
      <c r="U6" s="171" t="n"/>
      <c r="V6" s="171" t="n"/>
      <c r="W6" s="171" t="n"/>
      <c r="X6" s="171" t="n"/>
      <c r="Y6" s="171" t="n"/>
      <c r="Z6" s="171" t="n"/>
      <c r="AA6" s="171" t="n"/>
      <c r="AB6" s="171" t="n"/>
      <c r="AC6" s="171" t="n"/>
      <c r="AD6" s="171" t="n"/>
      <c r="AE6" s="171" t="n"/>
      <c r="AF6" s="171" t="n"/>
      <c r="AG6" s="171" t="n"/>
      <c r="AH6" s="171" t="n"/>
      <c r="AI6" s="171" t="n"/>
      <c r="AJ6" s="171" t="n"/>
      <c r="AK6" s="171" t="n"/>
      <c r="AL6" s="171" t="n"/>
    </row>
    <row r="7" ht="15.75" customHeight="1" s="86">
      <c r="B7" s="117" t="inlineStr">
        <is>
          <t>SANEAMIENTO</t>
        </is>
      </c>
      <c r="C7" s="172" t="n">
        <v>0</v>
      </c>
      <c r="D7" s="172" t="n">
        <v>0</v>
      </c>
      <c r="E7" s="172" t="n">
        <v>0</v>
      </c>
      <c r="F7" s="172" t="n">
        <v>53661.4</v>
      </c>
      <c r="G7" s="172" t="n">
        <v>53661.4</v>
      </c>
      <c r="H7" s="172" t="n">
        <v>66862.21000000001</v>
      </c>
      <c r="I7" s="172" t="n">
        <v>66862.21000000001</v>
      </c>
      <c r="J7" s="172" t="n">
        <v>66862.21000000001</v>
      </c>
      <c r="K7" s="172" t="n">
        <v>66862.21000000001</v>
      </c>
      <c r="L7" s="172" t="n">
        <v>66862.21000000001</v>
      </c>
      <c r="M7" s="172" t="n">
        <v>66862.21000000001</v>
      </c>
      <c r="N7" s="172" t="n">
        <v>13200.81</v>
      </c>
      <c r="O7" s="172" t="n">
        <v>0</v>
      </c>
      <c r="P7" s="172" t="n">
        <v>0</v>
      </c>
      <c r="Q7" s="172" t="n">
        <v>0</v>
      </c>
      <c r="R7" s="172" t="n">
        <v>0</v>
      </c>
      <c r="S7" s="172" t="n">
        <v>0</v>
      </c>
      <c r="T7" s="172" t="n">
        <v>0</v>
      </c>
      <c r="U7" s="172" t="n"/>
      <c r="V7" s="172" t="n"/>
      <c r="W7" s="172" t="n"/>
      <c r="X7" s="172" t="n"/>
      <c r="Y7" s="172" t="n"/>
      <c r="Z7" s="172" t="n"/>
      <c r="AA7" s="172" t="n"/>
      <c r="AB7" s="172" t="n"/>
      <c r="AC7" s="172" t="n"/>
      <c r="AD7" s="172" t="n"/>
      <c r="AE7" s="172" t="n"/>
      <c r="AF7" s="172" t="n"/>
      <c r="AG7" s="172" t="n"/>
      <c r="AH7" s="172" t="n"/>
      <c r="AI7" s="172" t="n"/>
      <c r="AJ7" s="172" t="n"/>
      <c r="AK7" s="172" t="n"/>
      <c r="AL7" s="172" t="n"/>
    </row>
    <row r="8" ht="15.75" customHeight="1" s="86">
      <c r="B8" s="119" t="inlineStr">
        <is>
          <t>ABASTECIMIENTO</t>
        </is>
      </c>
      <c r="C8" s="171" t="n">
        <v>0</v>
      </c>
      <c r="D8" s="171" t="n">
        <v>0</v>
      </c>
      <c r="E8" s="171" t="n">
        <v>0</v>
      </c>
      <c r="F8" s="171" t="n">
        <v>0</v>
      </c>
      <c r="G8" s="171" t="n">
        <v>0</v>
      </c>
      <c r="H8" s="171" t="n">
        <v>0</v>
      </c>
      <c r="I8" s="171" t="n">
        <v>0</v>
      </c>
      <c r="J8" s="171" t="n">
        <v>0</v>
      </c>
      <c r="K8" s="171" t="n">
        <v>0</v>
      </c>
      <c r="L8" s="171" t="n">
        <v>34729.39</v>
      </c>
      <c r="M8" s="171" t="n">
        <v>34729.39</v>
      </c>
      <c r="N8" s="171" t="n">
        <v>34729.39</v>
      </c>
      <c r="O8" s="171" t="n">
        <v>34729.39</v>
      </c>
      <c r="P8" s="171" t="n">
        <v>34729.39</v>
      </c>
      <c r="Q8" s="171" t="n">
        <v>0</v>
      </c>
      <c r="R8" s="171" t="n">
        <v>0</v>
      </c>
      <c r="S8" s="171" t="n">
        <v>0</v>
      </c>
      <c r="T8" s="171" t="n">
        <v>0</v>
      </c>
      <c r="U8" s="171" t="n"/>
      <c r="V8" s="171" t="n"/>
      <c r="W8" s="171" t="n"/>
      <c r="X8" s="171" t="n"/>
      <c r="Y8" s="171" t="n"/>
      <c r="Z8" s="171" t="n"/>
      <c r="AA8" s="171" t="n"/>
      <c r="AB8" s="171" t="n"/>
      <c r="AC8" s="171" t="n"/>
      <c r="AD8" s="171" t="n"/>
      <c r="AE8" s="171" t="n"/>
      <c r="AF8" s="171" t="n"/>
      <c r="AG8" s="171" t="n"/>
      <c r="AH8" s="171" t="n"/>
      <c r="AI8" s="171" t="n"/>
      <c r="AJ8" s="171" t="n"/>
      <c r="AK8" s="171" t="n"/>
      <c r="AL8" s="171" t="n"/>
    </row>
    <row r="9" ht="15.75" customHeight="1" s="86">
      <c r="B9" s="121" t="inlineStr">
        <is>
          <t>ELECTRICIDAD</t>
        </is>
      </c>
      <c r="C9" s="172" t="n">
        <v>0</v>
      </c>
      <c r="D9" s="172" t="n">
        <v>0</v>
      </c>
      <c r="E9" s="172" t="n">
        <v>0</v>
      </c>
      <c r="F9" s="172" t="n">
        <v>0</v>
      </c>
      <c r="G9" s="172" t="n">
        <v>0</v>
      </c>
      <c r="H9" s="172" t="n">
        <v>0</v>
      </c>
      <c r="I9" s="172" t="n">
        <v>0</v>
      </c>
      <c r="J9" s="172" t="n">
        <v>0</v>
      </c>
      <c r="K9" s="172" t="n">
        <v>0</v>
      </c>
      <c r="L9" s="172" t="n">
        <v>0</v>
      </c>
      <c r="M9" s="172" t="n">
        <v>0</v>
      </c>
      <c r="N9" s="172" t="n">
        <v>0</v>
      </c>
      <c r="O9" s="172" t="n">
        <v>0</v>
      </c>
      <c r="P9" s="172" t="n">
        <v>0</v>
      </c>
      <c r="Q9" s="172" t="n">
        <v>0</v>
      </c>
      <c r="R9" s="172" t="n">
        <v>0</v>
      </c>
      <c r="S9" s="172" t="n">
        <v>0</v>
      </c>
      <c r="T9" s="172" t="n">
        <v>0</v>
      </c>
      <c r="U9" s="172" t="n"/>
      <c r="V9" s="172" t="n"/>
      <c r="W9" s="172" t="n"/>
      <c r="X9" s="172" t="n"/>
      <c r="Y9" s="172" t="n"/>
      <c r="Z9" s="172" t="n"/>
      <c r="AA9" s="172" t="n"/>
      <c r="AB9" s="172" t="n"/>
      <c r="AC9" s="172" t="n"/>
      <c r="AD9" s="172" t="n"/>
      <c r="AE9" s="172" t="n"/>
      <c r="AF9" s="172" t="n"/>
      <c r="AG9" s="172" t="n"/>
      <c r="AH9" s="172" t="n"/>
      <c r="AI9" s="172" t="n"/>
      <c r="AJ9" s="172" t="n"/>
      <c r="AK9" s="172" t="n"/>
      <c r="AL9" s="172" t="n"/>
    </row>
    <row r="10" ht="15.75" customHeight="1" s="86">
      <c r="B10" s="123" t="inlineStr">
        <is>
          <t>TELECOMUNICACIONES</t>
        </is>
      </c>
      <c r="C10" s="171" t="n">
        <v>0</v>
      </c>
      <c r="D10" s="171" t="n">
        <v>0</v>
      </c>
      <c r="E10" s="171" t="n">
        <v>0</v>
      </c>
      <c r="F10" s="171" t="n">
        <v>0</v>
      </c>
      <c r="G10" s="171" t="n">
        <v>0</v>
      </c>
      <c r="H10" s="171" t="n">
        <v>0</v>
      </c>
      <c r="I10" s="171" t="n">
        <v>0</v>
      </c>
      <c r="J10" s="171" t="n">
        <v>0</v>
      </c>
      <c r="K10" s="171" t="n">
        <v>0</v>
      </c>
      <c r="L10" s="171" t="n">
        <v>0</v>
      </c>
      <c r="M10" s="171" t="n">
        <v>0</v>
      </c>
      <c r="N10" s="171" t="n">
        <v>0</v>
      </c>
      <c r="O10" s="171" t="n">
        <v>0</v>
      </c>
      <c r="P10" s="171" t="n">
        <v>0</v>
      </c>
      <c r="Q10" s="171" t="n">
        <v>0</v>
      </c>
      <c r="R10" s="171" t="n">
        <v>0</v>
      </c>
      <c r="S10" s="171" t="n">
        <v>0</v>
      </c>
      <c r="T10" s="171" t="n">
        <v>0</v>
      </c>
      <c r="U10" s="171" t="n"/>
      <c r="V10" s="171" t="n"/>
      <c r="W10" s="171" t="n"/>
      <c r="X10" s="171" t="n"/>
      <c r="Y10" s="171" t="n"/>
      <c r="Z10" s="171" t="n"/>
      <c r="AA10" s="171" t="n"/>
      <c r="AB10" s="171" t="n"/>
      <c r="AC10" s="171" t="n"/>
      <c r="AD10" s="171" t="n"/>
      <c r="AE10" s="171" t="n"/>
      <c r="AF10" s="171" t="n"/>
      <c r="AG10" s="171" t="n"/>
      <c r="AH10" s="171" t="n"/>
      <c r="AI10" s="171" t="n"/>
      <c r="AJ10" s="171" t="n"/>
      <c r="AK10" s="171" t="n"/>
      <c r="AL10" s="171" t="n"/>
    </row>
    <row r="11" ht="15.75" customHeight="1" s="86">
      <c r="B11" s="125" t="inlineStr">
        <is>
          <t>GAS</t>
        </is>
      </c>
      <c r="C11" s="172" t="n">
        <v>0</v>
      </c>
      <c r="D11" s="172" t="n">
        <v>0</v>
      </c>
      <c r="E11" s="172" t="n">
        <v>0</v>
      </c>
      <c r="F11" s="172" t="n">
        <v>0</v>
      </c>
      <c r="G11" s="172" t="n">
        <v>0</v>
      </c>
      <c r="H11" s="172" t="n">
        <v>0</v>
      </c>
      <c r="I11" s="172" t="n">
        <v>0</v>
      </c>
      <c r="J11" s="172" t="n">
        <v>0</v>
      </c>
      <c r="K11" s="172" t="n">
        <v>0</v>
      </c>
      <c r="L11" s="172" t="n">
        <v>0</v>
      </c>
      <c r="M11" s="172" t="n">
        <v>0</v>
      </c>
      <c r="N11" s="172" t="n">
        <v>0</v>
      </c>
      <c r="O11" s="172" t="n">
        <v>0</v>
      </c>
      <c r="P11" s="172" t="n">
        <v>0</v>
      </c>
      <c r="Q11" s="172" t="n">
        <v>0</v>
      </c>
      <c r="R11" s="172" t="n">
        <v>0</v>
      </c>
      <c r="S11" s="172" t="n">
        <v>0</v>
      </c>
      <c r="T11" s="172" t="n">
        <v>0</v>
      </c>
      <c r="U11" s="172" t="n"/>
      <c r="V11" s="172" t="n"/>
      <c r="W11" s="172" t="n"/>
      <c r="X11" s="172" t="n"/>
      <c r="Y11" s="172" t="n"/>
      <c r="Z11" s="172" t="n"/>
      <c r="AA11" s="172" t="n"/>
      <c r="AB11" s="172" t="n"/>
      <c r="AC11" s="172" t="n"/>
      <c r="AD11" s="172" t="n"/>
      <c r="AE11" s="172" t="n"/>
      <c r="AF11" s="172" t="n"/>
      <c r="AG11" s="172" t="n"/>
      <c r="AH11" s="172" t="n"/>
      <c r="AI11" s="172" t="n"/>
      <c r="AJ11" s="172" t="n"/>
      <c r="AK11" s="172" t="n"/>
      <c r="AL11" s="172" t="n"/>
    </row>
    <row r="12" ht="15.75" customHeight="1" s="86">
      <c r="B12" s="127" t="inlineStr">
        <is>
          <t>URBANIZACIÓN</t>
        </is>
      </c>
      <c r="C12" s="171" t="n">
        <v>0</v>
      </c>
      <c r="D12" s="171" t="n">
        <v>0</v>
      </c>
      <c r="E12" s="171" t="n">
        <v>0</v>
      </c>
      <c r="F12" s="171" t="n">
        <v>0</v>
      </c>
      <c r="G12" s="171" t="n">
        <v>0</v>
      </c>
      <c r="H12" s="171" t="n">
        <v>0</v>
      </c>
      <c r="I12" s="171" t="n">
        <v>0</v>
      </c>
      <c r="J12" s="171" t="n">
        <v>0</v>
      </c>
      <c r="K12" s="171" t="n">
        <v>0</v>
      </c>
      <c r="L12" s="171" t="n">
        <v>0</v>
      </c>
      <c r="M12" s="171" t="n">
        <v>0</v>
      </c>
      <c r="N12" s="171" t="n">
        <v>33746.81</v>
      </c>
      <c r="O12" s="171" t="n">
        <v>42361.43</v>
      </c>
      <c r="P12" s="171" t="n">
        <v>42361.43</v>
      </c>
      <c r="Q12" s="171" t="n">
        <v>72710.37</v>
      </c>
      <c r="R12" s="171" t="n">
        <v>40448.46</v>
      </c>
      <c r="S12" s="171" t="n">
        <v>40448.46</v>
      </c>
      <c r="T12" s="171" t="n">
        <v>20038.73</v>
      </c>
      <c r="U12" s="171" t="n"/>
      <c r="V12" s="171" t="n"/>
      <c r="W12" s="171" t="n"/>
      <c r="X12" s="171" t="n"/>
      <c r="Y12" s="171" t="n"/>
      <c r="Z12" s="171" t="n"/>
      <c r="AA12" s="171" t="n"/>
      <c r="AB12" s="171" t="n"/>
      <c r="AC12" s="171" t="n"/>
      <c r="AD12" s="171" t="n"/>
      <c r="AE12" s="171" t="n"/>
      <c r="AF12" s="171" t="n"/>
      <c r="AG12" s="171" t="n"/>
      <c r="AH12" s="171" t="n"/>
      <c r="AI12" s="171" t="n"/>
      <c r="AJ12" s="171" t="n"/>
      <c r="AK12" s="171" t="n"/>
      <c r="AL12" s="171" t="n"/>
    </row>
    <row r="13" ht="15.75" customHeight="1" s="86">
      <c r="B13" s="129" t="inlineStr">
        <is>
          <t>CONTROL/GESTIÓN</t>
        </is>
      </c>
      <c r="C13" s="172" t="n">
        <v>6272.03</v>
      </c>
      <c r="D13" s="172" t="n">
        <v>6272.03</v>
      </c>
      <c r="E13" s="172" t="n">
        <v>6272.03</v>
      </c>
      <c r="F13" s="172" t="n">
        <v>6272.03</v>
      </c>
      <c r="G13" s="172" t="n">
        <v>6272.03</v>
      </c>
      <c r="H13" s="172" t="n">
        <v>6272.03</v>
      </c>
      <c r="I13" s="172" t="n">
        <v>6272.03</v>
      </c>
      <c r="J13" s="172" t="n">
        <v>6272.03</v>
      </c>
      <c r="K13" s="172" t="n">
        <v>6272.03</v>
      </c>
      <c r="L13" s="172" t="n">
        <v>6272.03</v>
      </c>
      <c r="M13" s="172" t="n">
        <v>6272.03</v>
      </c>
      <c r="N13" s="172" t="n">
        <v>6272.03</v>
      </c>
      <c r="O13" s="172" t="n">
        <v>6272.03</v>
      </c>
      <c r="P13" s="172" t="n">
        <v>6272.03</v>
      </c>
      <c r="Q13" s="172" t="n">
        <v>6272.03</v>
      </c>
      <c r="R13" s="172" t="n">
        <v>6272.03</v>
      </c>
      <c r="S13" s="172" t="n">
        <v>6272.03</v>
      </c>
      <c r="T13" s="172" t="n">
        <v>6272.03</v>
      </c>
      <c r="U13" s="172" t="n"/>
      <c r="V13" s="172" t="n"/>
      <c r="W13" s="172" t="n"/>
      <c r="X13" s="172" t="n"/>
      <c r="Y13" s="172" t="n"/>
      <c r="Z13" s="172" t="n"/>
      <c r="AA13" s="172" t="n"/>
      <c r="AB13" s="172" t="n"/>
      <c r="AC13" s="172" t="n"/>
      <c r="AD13" s="172" t="n"/>
      <c r="AE13" s="172" t="n"/>
      <c r="AF13" s="172" t="n"/>
      <c r="AG13" s="172" t="n"/>
      <c r="AH13" s="172" t="n"/>
      <c r="AI13" s="172" t="n"/>
      <c r="AJ13" s="172" t="n"/>
      <c r="AK13" s="172" t="n"/>
      <c r="AL13" s="172" t="n"/>
    </row>
    <row r="14" ht="15.75" customHeight="1" s="86">
      <c r="B14" s="173" t="inlineStr">
        <is>
          <t>PRESUPUESTO TOTAL (PEM BC3 = 3,737,657.65 €)</t>
        </is>
      </c>
      <c r="C14" s="171" t="n">
        <v>79545.09</v>
      </c>
      <c r="D14" s="171" t="n">
        <v>79545.09</v>
      </c>
      <c r="E14" s="171" t="n">
        <v>62481.67</v>
      </c>
      <c r="F14" s="171" t="n">
        <v>116143.07</v>
      </c>
      <c r="G14" s="171" t="n">
        <v>116143.07</v>
      </c>
      <c r="H14" s="171" t="n">
        <v>129343.87</v>
      </c>
      <c r="I14" s="171" t="n">
        <v>129343.87</v>
      </c>
      <c r="J14" s="171" t="n">
        <v>129343.87</v>
      </c>
      <c r="K14" s="171" t="n">
        <v>380776.76</v>
      </c>
      <c r="L14" s="171" t="n">
        <v>415506.15</v>
      </c>
      <c r="M14" s="171" t="n">
        <v>415506.15</v>
      </c>
      <c r="N14" s="171" t="n">
        <v>395591.56</v>
      </c>
      <c r="O14" s="171" t="n">
        <v>391005.38</v>
      </c>
      <c r="P14" s="171" t="n">
        <v>391005.38</v>
      </c>
      <c r="Q14" s="171" t="n">
        <v>386624.93</v>
      </c>
      <c r="R14" s="171" t="n">
        <v>46720.49</v>
      </c>
      <c r="S14" s="171" t="n">
        <v>46720.49</v>
      </c>
      <c r="T14" s="171" t="n">
        <v>26310.76</v>
      </c>
      <c r="U14" s="171" t="n"/>
      <c r="V14" s="171" t="n"/>
      <c r="W14" s="171" t="n"/>
      <c r="X14" s="171" t="n"/>
      <c r="Y14" s="171" t="n"/>
      <c r="Z14" s="171" t="n"/>
      <c r="AA14" s="171" t="n"/>
      <c r="AB14" s="171" t="n"/>
      <c r="AC14" s="171" t="n"/>
      <c r="AD14" s="171" t="n"/>
      <c r="AE14" s="171" t="n"/>
      <c r="AF14" s="171" t="n"/>
      <c r="AG14" s="171" t="n"/>
      <c r="AH14" s="171" t="n"/>
      <c r="AI14" s="171" t="n"/>
      <c r="AJ14" s="171" t="n"/>
      <c r="AK14" s="171" t="n"/>
      <c r="AL14" s="171" t="n"/>
    </row>
    <row r="15" ht="15.75" customHeight="1" s="86">
      <c r="B15" s="174" t="inlineStr">
        <is>
          <t>INVERSIÓN ACUMULADA (€)</t>
        </is>
      </c>
      <c r="C15" s="172" t="n">
        <v>79545.09</v>
      </c>
      <c r="D15" s="172" t="n">
        <v>159090.18</v>
      </c>
      <c r="E15" s="172" t="n">
        <v>221571.85</v>
      </c>
      <c r="F15" s="172" t="n">
        <v>337714.92</v>
      </c>
      <c r="G15" s="172" t="n">
        <v>453857.99</v>
      </c>
      <c r="H15" s="172" t="n">
        <v>583201.86</v>
      </c>
      <c r="I15" s="172" t="n">
        <v>712545.73</v>
      </c>
      <c r="J15" s="172" t="n">
        <v>841889.6</v>
      </c>
      <c r="K15" s="172" t="n">
        <v>1222666.36</v>
      </c>
      <c r="L15" s="172" t="n">
        <v>1638172.51</v>
      </c>
      <c r="M15" s="172" t="n">
        <v>2053678.66</v>
      </c>
      <c r="N15" s="172" t="n">
        <v>2449270.22</v>
      </c>
      <c r="O15" s="172" t="n">
        <v>2840275.6</v>
      </c>
      <c r="P15" s="172" t="n">
        <v>3231280.98</v>
      </c>
      <c r="Q15" s="172" t="n">
        <v>3617905.91</v>
      </c>
      <c r="R15" s="172" t="n">
        <v>3664626.4</v>
      </c>
      <c r="S15" s="172" t="n">
        <v>3711346.89</v>
      </c>
      <c r="T15" s="172" t="n">
        <v>3737657.65</v>
      </c>
      <c r="U15" s="172" t="n"/>
      <c r="V15" s="172" t="n"/>
      <c r="W15" s="172" t="n"/>
      <c r="X15" s="172" t="n"/>
      <c r="Y15" s="172" t="n"/>
      <c r="Z15" s="172" t="n"/>
      <c r="AA15" s="172" t="n"/>
      <c r="AB15" s="172" t="n"/>
      <c r="AC15" s="172" t="n"/>
      <c r="AD15" s="172" t="n"/>
      <c r="AE15" s="172" t="n"/>
      <c r="AF15" s="172" t="n"/>
      <c r="AG15" s="172" t="n"/>
      <c r="AH15" s="172" t="n"/>
      <c r="AI15" s="172" t="n"/>
      <c r="AJ15" s="172" t="n"/>
      <c r="AK15" s="172" t="n"/>
      <c r="AL15" s="172" t="n"/>
    </row>
    <row r="16" ht="15.75" customHeight="1" s="86">
      <c r="B16" s="174" t="inlineStr">
        <is>
          <t>% CERTIFICADO ACUM.</t>
        </is>
      </c>
      <c r="C16" s="171" t="n">
        <v>2.13</v>
      </c>
      <c r="D16" s="171" t="n">
        <v>4.26</v>
      </c>
      <c r="E16" s="171" t="n">
        <v>5.93</v>
      </c>
      <c r="F16" s="171" t="n">
        <v>9.039999999999999</v>
      </c>
      <c r="G16" s="171" t="n">
        <v>12.14</v>
      </c>
      <c r="H16" s="171" t="n">
        <v>15.6</v>
      </c>
      <c r="I16" s="171" t="n">
        <v>19.06</v>
      </c>
      <c r="J16" s="171" t="n">
        <v>22.52</v>
      </c>
      <c r="K16" s="171" t="n">
        <v>32.71</v>
      </c>
      <c r="L16" s="171" t="n">
        <v>43.83</v>
      </c>
      <c r="M16" s="171" t="n">
        <v>54.95</v>
      </c>
      <c r="N16" s="171" t="n">
        <v>65.53</v>
      </c>
      <c r="O16" s="171" t="n">
        <v>75.98999999999999</v>
      </c>
      <c r="P16" s="171" t="n">
        <v>86.45</v>
      </c>
      <c r="Q16" s="171" t="n">
        <v>96.8</v>
      </c>
      <c r="R16" s="171" t="n">
        <v>98.05</v>
      </c>
      <c r="S16" s="171" t="n">
        <v>99.3</v>
      </c>
      <c r="T16" s="171" t="n">
        <v>100</v>
      </c>
      <c r="U16" s="171" t="n"/>
      <c r="V16" s="171" t="n"/>
      <c r="W16" s="171" t="n"/>
      <c r="X16" s="171" t="n"/>
      <c r="Y16" s="171" t="n"/>
      <c r="Z16" s="171" t="n"/>
      <c r="AA16" s="171" t="n"/>
      <c r="AB16" s="171" t="n"/>
      <c r="AC16" s="171" t="n"/>
      <c r="AD16" s="171" t="n"/>
      <c r="AE16" s="171" t="n"/>
      <c r="AF16" s="171" t="n"/>
      <c r="AG16" s="171" t="n"/>
      <c r="AH16" s="171" t="n"/>
      <c r="AI16" s="171" t="n"/>
      <c r="AJ16" s="171" t="n"/>
      <c r="AK16" s="171" t="n"/>
      <c r="AL16" s="171" t="n"/>
    </row>
  </sheetData>
  <mergeCells count="3">
    <mergeCell ref="A1:AL1"/>
    <mergeCell ref="A4:AL4"/>
    <mergeCell ref="A2:AL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2026-03-25T22:06:09Z</dcterms:created>
  <dcterms:modified xmlns:dcterms="http://purl.org/dc/terms/" xmlns:xsi="http://www.w3.org/2001/XMLSchema-instance" xsi:type="dcterms:W3CDTF">2026-04-10T04:56:08Z</dcterms:modified>
  <cp:revision>0</cp:revision>
</cp:coreProperties>
</file>