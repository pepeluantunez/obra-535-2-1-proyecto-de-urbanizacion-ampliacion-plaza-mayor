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Claude\Projects\MEJORA CARRETERA GUADALMAR\PROYECTO 535\535.2\535.2.2 Mejora Carretera Guadalmar\POU 2026\DOCS\Documentos de Trabajo\13.- Estudio de Gestion de Residuos\"/>
    </mc:Choice>
  </mc:AlternateContent>
  <xr:revisionPtr revIDLastSave="0" documentId="13_ncr:1_{0EE993FA-C01C-4336-9006-1D53790D9EE5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CTRA. GUADALMAR" sheetId="1" r:id="rId1"/>
    <sheet name="Hoja2" sheetId="2" r:id="rId2"/>
  </sheets>
  <calcPr calcId="191029" iterateDelta="1E-4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7" i="1" l="1"/>
  <c r="E93" i="1"/>
  <c r="G57" i="1"/>
  <c r="G56" i="1"/>
  <c r="G55" i="1"/>
  <c r="F70" i="1" s="1"/>
  <c r="G70" i="1" s="1"/>
  <c r="G54" i="1"/>
  <c r="F69" i="1" s="1"/>
  <c r="G69" i="1" s="1"/>
  <c r="G53" i="1"/>
  <c r="F80" i="1" s="1"/>
  <c r="G80" i="1" s="1"/>
  <c r="G52" i="1"/>
  <c r="F64" i="1" s="1"/>
  <c r="G51" i="1"/>
  <c r="G50" i="1"/>
  <c r="E42" i="1"/>
  <c r="E38" i="1"/>
  <c r="E32" i="1"/>
  <c r="G19" i="1"/>
  <c r="G10" i="1"/>
  <c r="G9" i="1"/>
  <c r="G11" i="1" s="1"/>
  <c r="F7" i="2" s="1"/>
  <c r="G7" i="2" s="1"/>
  <c r="F67" i="1" l="1"/>
  <c r="G67" i="1" s="1"/>
  <c r="F71" i="1"/>
  <c r="G71" i="1" s="1"/>
  <c r="F89" i="1"/>
  <c r="G89" i="1" s="1"/>
  <c r="F77" i="1"/>
  <c r="G77" i="1" s="1"/>
  <c r="F73" i="1"/>
  <c r="G73" i="1" s="1"/>
  <c r="F84" i="1"/>
  <c r="F96" i="1"/>
  <c r="G96" i="1" s="1"/>
  <c r="F88" i="1"/>
  <c r="G88" i="1" s="1"/>
  <c r="F76" i="1"/>
  <c r="G76" i="1" s="1"/>
  <c r="G64" i="1"/>
  <c r="F87" i="1"/>
  <c r="G87" i="1" s="1"/>
  <c r="F75" i="1"/>
  <c r="G75" i="1" s="1"/>
  <c r="F95" i="1"/>
  <c r="F92" i="1"/>
  <c r="G92" i="1" s="1"/>
  <c r="F91" i="1"/>
  <c r="G91" i="1" s="1"/>
  <c r="F86" i="1"/>
  <c r="G86" i="1" s="1"/>
  <c r="F78" i="1"/>
  <c r="G78" i="1" s="1"/>
  <c r="F66" i="1"/>
  <c r="F26" i="1"/>
  <c r="G26" i="1" s="1"/>
  <c r="F37" i="1"/>
  <c r="F36" i="1"/>
  <c r="F35" i="1"/>
  <c r="F34" i="1"/>
  <c r="F29" i="1"/>
  <c r="F41" i="1"/>
  <c r="G41" i="1" s="1"/>
  <c r="F40" i="1"/>
  <c r="F31" i="1"/>
  <c r="F30" i="1"/>
  <c r="F28" i="1"/>
  <c r="F27" i="1"/>
  <c r="F25" i="1"/>
  <c r="F81" i="1" l="1"/>
  <c r="G84" i="1"/>
  <c r="G93" i="1" s="1"/>
  <c r="F93" i="1"/>
  <c r="G95" i="1"/>
  <c r="G97" i="1" s="1"/>
  <c r="F97" i="1"/>
  <c r="L94" i="1" s="1"/>
  <c r="G66" i="1"/>
  <c r="F13" i="2"/>
  <c r="G37" i="1"/>
  <c r="G38" i="2" s="1"/>
  <c r="F38" i="2"/>
  <c r="G36" i="1"/>
  <c r="G36" i="2" s="1"/>
  <c r="F36" i="2"/>
  <c r="F34" i="2"/>
  <c r="G35" i="1"/>
  <c r="G34" i="2" s="1"/>
  <c r="G34" i="1"/>
  <c r="F38" i="1"/>
  <c r="L92" i="1" s="1"/>
  <c r="F31" i="2"/>
  <c r="G29" i="1"/>
  <c r="G19" i="2" s="1"/>
  <c r="F19" i="2"/>
  <c r="G40" i="1"/>
  <c r="F42" i="1"/>
  <c r="F25" i="2"/>
  <c r="G31" i="1"/>
  <c r="G23" i="2" s="1"/>
  <c r="F23" i="2"/>
  <c r="G30" i="1"/>
  <c r="G21" i="2" s="1"/>
  <c r="F21" i="2"/>
  <c r="G28" i="1"/>
  <c r="G17" i="2" s="1"/>
  <c r="F17" i="2"/>
  <c r="G27" i="1"/>
  <c r="G15" i="2" s="1"/>
  <c r="F15" i="2"/>
  <c r="F32" i="1"/>
  <c r="L93" i="1" s="1"/>
  <c r="G25" i="1"/>
  <c r="F11" i="2"/>
  <c r="L95" i="1" l="1"/>
  <c r="G13" i="2"/>
  <c r="G81" i="1"/>
  <c r="G31" i="2"/>
  <c r="G38" i="1"/>
  <c r="G42" i="1"/>
  <c r="G25" i="2"/>
  <c r="G32" i="1"/>
  <c r="G11" i="2"/>
</calcChain>
</file>

<file path=xl/sharedStrings.xml><?xml version="1.0" encoding="utf-8"?>
<sst xmlns="http://schemas.openxmlformats.org/spreadsheetml/2006/main" count="245" uniqueCount="159">
  <si>
    <t>MEJORA CARRETERA DE GUADALMAR</t>
  </si>
  <si>
    <t>Partidas de retirada de tierras procedentes de la excavacion, RCD´s NIVEL I</t>
  </si>
  <si>
    <t>(volumen de tierras y petreos no contaminados)</t>
  </si>
  <si>
    <t>RCD: Volumen de tierras y pétrea no contaminados</t>
  </si>
  <si>
    <t>Volumen (m³)</t>
  </si>
  <si>
    <t>ct x ct</t>
  </si>
  <si>
    <t>tn</t>
  </si>
  <si>
    <t>Excavacion Desbroce</t>
  </si>
  <si>
    <t>1.5 x 1.15</t>
  </si>
  <si>
    <t>MDT001(LM-1.02)</t>
  </si>
  <si>
    <t>Saneo y desmonte trazado (se deduce suelo adecuado a utilizar en obra)</t>
  </si>
  <si>
    <t>EXCADESMONTE+EXCASANRELL-RELLENOTERRA (LM-1.02)</t>
  </si>
  <si>
    <t>Total Vol. Tierras no contaminadas</t>
  </si>
  <si>
    <t>Resto de partidas que generan residuos de forma indirecta al ejecutar la unidad de obra, RCD´s NIVEL II</t>
  </si>
  <si>
    <t>Estimacion de Residuos totales por parámetros estimativos</t>
  </si>
  <si>
    <t>Estimacion Residuos Total en la ejecucion de las Obras</t>
  </si>
  <si>
    <t>Superficie construida (m2)</t>
  </si>
  <si>
    <t>Vol. de Residuos</t>
  </si>
  <si>
    <t>D. tipo (t/m³)</t>
  </si>
  <si>
    <t>Toneladas</t>
  </si>
  <si>
    <t>sup. X 0,20</t>
  </si>
  <si>
    <t>AREA DE CIVIL3D</t>
  </si>
  <si>
    <t>Estimacion del peso de Residuos por tipo (ratios obtenidos del colegio oficial de arquitectos de Sevilla)</t>
  </si>
  <si>
    <t>Estimacion del peso de Residuos por tipo</t>
  </si>
  <si>
    <t>Evaluacon teórica del peso por tipologia de RCD</t>
  </si>
  <si>
    <t>% en Peso</t>
  </si>
  <si>
    <t>Tn de cada tipo de RCD</t>
  </si>
  <si>
    <t>m³ de cada tipo de RCD</t>
  </si>
  <si>
    <t>RCD: Naturaleza no pétrea</t>
  </si>
  <si>
    <t>Asfalto</t>
  </si>
  <si>
    <t>Madera</t>
  </si>
  <si>
    <t>Metales</t>
  </si>
  <si>
    <t>Papel</t>
  </si>
  <si>
    <t>Plastico</t>
  </si>
  <si>
    <t>Vidrio</t>
  </si>
  <si>
    <t>Yeso</t>
  </si>
  <si>
    <t>Total Naturaleza no pétrea</t>
  </si>
  <si>
    <t>RCD: Naturaleza pétrea</t>
  </si>
  <si>
    <t>Arena, grava y otros aridos</t>
  </si>
  <si>
    <t>Hormigon</t>
  </si>
  <si>
    <t>Ladrillos, azulejos y otros ceramicos</t>
  </si>
  <si>
    <t>Piedra</t>
  </si>
  <si>
    <t>Total Naturaleza pétrea</t>
  </si>
  <si>
    <t>RCD: Potencialmente Peligrosos</t>
  </si>
  <si>
    <t>Basura</t>
  </si>
  <si>
    <t>Peligrosos y otros</t>
  </si>
  <si>
    <t>Total Potencialmente Peligoroso</t>
  </si>
  <si>
    <t>Partidas de Demolicion y Desmontaje (según mediciones proyecto), RCD´s NIVEL II</t>
  </si>
  <si>
    <t xml:space="preserve">Estimacion de Residuos totales por parámetros estimativos </t>
  </si>
  <si>
    <t>Estimacion Residuos Total en la demolicion de Edificacaciones existentes</t>
  </si>
  <si>
    <t>Descripción</t>
  </si>
  <si>
    <t>medición (PU)</t>
  </si>
  <si>
    <t>paso unidad</t>
  </si>
  <si>
    <t xml:space="preserve">(1) Demolicion fabrica de ladrillo </t>
  </si>
  <si>
    <t>m3</t>
  </si>
  <si>
    <t>m2</t>
  </si>
  <si>
    <t>01EMM12315486 (LM-1.01)</t>
  </si>
  <si>
    <t xml:space="preserve">(2) Demolicion pavimento de hormigon </t>
  </si>
  <si>
    <t>DYT003 (LM-1.01)</t>
  </si>
  <si>
    <t>(3) Demolicion pavimento de mezcla bituminosa</t>
  </si>
  <si>
    <t>DYT005 (LM-2.00)</t>
  </si>
  <si>
    <t>(4) Demolicion y retirada de canalizaciones existente</t>
  </si>
  <si>
    <t>m</t>
  </si>
  <si>
    <t>DEM056 / DEM056-PLUV / DEM056-FEC (MCG-1.01#) [Medicion total trazable: 1.197 m]</t>
  </si>
  <si>
    <t>(5) Demontaje de valla simple torsion</t>
  </si>
  <si>
    <t>DYT006 (LM-1.01)</t>
  </si>
  <si>
    <t>(6) Demontaje de bionda</t>
  </si>
  <si>
    <t>(7) Demolicion tecnica Obra Paso Superior</t>
  </si>
  <si>
    <t>(8) Desmantelamiento tuberia fibrocemento enterrada</t>
  </si>
  <si>
    <t>DESMTUBFIBRO (LM-1.01)</t>
  </si>
  <si>
    <t>(3)</t>
  </si>
  <si>
    <t>(4)</t>
  </si>
  <si>
    <t>(7)</t>
  </si>
  <si>
    <t>(5)</t>
  </si>
  <si>
    <t>(6)</t>
  </si>
  <si>
    <t>(2)</t>
  </si>
  <si>
    <t>Hormigon, morteros y prefabricados</t>
  </si>
  <si>
    <t>(1)</t>
  </si>
  <si>
    <t>Código</t>
  </si>
  <si>
    <t>Subcapítulo</t>
  </si>
  <si>
    <t>TOTAL (€)</t>
  </si>
  <si>
    <t>GT</t>
  </si>
  <si>
    <t>Gestión de Residuos de Naturaleza Pétrea</t>
  </si>
  <si>
    <t>GR</t>
  </si>
  <si>
    <t>Gestión de Residuos de Naturaleza NO Pétrea</t>
  </si>
  <si>
    <t>GE</t>
  </si>
  <si>
    <t>Gestión de residuos peligrosos</t>
  </si>
  <si>
    <t xml:space="preserve"> </t>
  </si>
  <si>
    <t>TOTAL</t>
  </si>
  <si>
    <t>Material según "Orden MAM 304/2002. Operaciones de valorización y eliminación de residuos y Lista europea de residuos"</t>
  </si>
  <si>
    <t>Código LER</t>
  </si>
  <si>
    <t>Tratamiento</t>
  </si>
  <si>
    <t>Destino</t>
  </si>
  <si>
    <t>Peso</t>
  </si>
  <si>
    <t>Volumen</t>
  </si>
  <si>
    <t>(t)</t>
  </si>
  <si>
    <t>(m³)</t>
  </si>
  <si>
    <t>RCD de Nivel I</t>
  </si>
  <si>
    <t>1 Tierras y pétreos de la excavación</t>
  </si>
  <si>
    <t>Tierra y piedras distintas de las especificadas en el código 17 05 03.</t>
  </si>
  <si>
    <t>17 05 04</t>
  </si>
  <si>
    <t>Sin tratamiento específico</t>
  </si>
  <si>
    <t>Restauración / Vertedero</t>
  </si>
  <si>
    <t>RCD de Nivel II</t>
  </si>
  <si>
    <t>RCD de naturaleza no pétrea</t>
  </si>
  <si>
    <t>1 Asfalto</t>
  </si>
  <si>
    <t>Mezclas bituminosas distintas de las especificadas en el código 17 03 01.</t>
  </si>
  <si>
    <t>17 03 02</t>
  </si>
  <si>
    <t>Reciclado</t>
  </si>
  <si>
    <t>Planta reciclaje RCD</t>
  </si>
  <si>
    <t>2 Madera</t>
  </si>
  <si>
    <t>Madera.</t>
  </si>
  <si>
    <t>17 02 01</t>
  </si>
  <si>
    <t>Gestor autorizado RNPs</t>
  </si>
  <si>
    <t>3 Metales (incluidas sus aleaciones)</t>
  </si>
  <si>
    <t>Hierro y acero.</t>
  </si>
  <si>
    <t>17 04 05</t>
  </si>
  <si>
    <t>4 Papel y cartón</t>
  </si>
  <si>
    <t>Envases de papel y cartón.</t>
  </si>
  <si>
    <t>15 01 01</t>
  </si>
  <si>
    <t>5 Plástico</t>
  </si>
  <si>
    <t>Plástico.</t>
  </si>
  <si>
    <t>17 02 03</t>
  </si>
  <si>
    <t>6 Vidrio</t>
  </si>
  <si>
    <t>Residuos de vidrio distintos de los especificados en el código 10 11 11</t>
  </si>
  <si>
    <t>17 02 02</t>
  </si>
  <si>
    <t>7 Yeso</t>
  </si>
  <si>
    <t>Materiales de construcción a base de yeso</t>
  </si>
  <si>
    <t>17 08 02</t>
  </si>
  <si>
    <t>Depósito / Tratamiento</t>
  </si>
  <si>
    <t>6 Basuras</t>
  </si>
  <si>
    <t>Materiales de aislamiento distintos de los especificados en los códigos 17 06 01 y 17 06 03.</t>
  </si>
  <si>
    <t>17 06 04</t>
  </si>
  <si>
    <t>Residuos mezclados de construcción y demolición distintos de los especificados en los códigos 17 09 01, 17 09 02 y 17 09 03.</t>
  </si>
  <si>
    <t>17 09 04</t>
  </si>
  <si>
    <t>Gestor autorizado RPs</t>
  </si>
  <si>
    <t>Residuos biodegradables.</t>
  </si>
  <si>
    <t>20 02 01</t>
  </si>
  <si>
    <t>Reciclado / Vertedero</t>
  </si>
  <si>
    <t>Planta reciclaje RSU</t>
  </si>
  <si>
    <t>Residuos de la limpieza viaria.</t>
  </si>
  <si>
    <t>20 03 03</t>
  </si>
  <si>
    <t>RCD de naturaleza pétrea</t>
  </si>
  <si>
    <t>1 Arena, grava y otros áridos</t>
  </si>
  <si>
    <t>Residuos de grava y rocas trituradas distintos de los mencionados en el código 01 04 07.</t>
  </si>
  <si>
    <t>01 04 08</t>
  </si>
  <si>
    <t>Residuos de arena y arcillas.</t>
  </si>
  <si>
    <t>01 04 09</t>
  </si>
  <si>
    <t>"</t>
  </si>
  <si>
    <t>2 Hormigón</t>
  </si>
  <si>
    <t>Hormigón (hormigones, morteros y prefabricados).</t>
  </si>
  <si>
    <t>17 01 01</t>
  </si>
  <si>
    <t>3 Ladrillos, tejas y materiales cerámicos</t>
  </si>
  <si>
    <t>Mezclas de hormigón, ladrillos, tejas y materiales cerámicos distintas de las especificadas en el código 17 01 06.</t>
  </si>
  <si>
    <t>17 01 07</t>
  </si>
  <si>
    <t>4 Piedra</t>
  </si>
  <si>
    <t>Mezclas de piedras y materiales rocosos distintas de las especificadas</t>
  </si>
  <si>
    <t>17 05 08</t>
  </si>
  <si>
    <t>TOTAL por mediciones: 59.731,29 EUR. Valor alineado con BC3 (GR-1.18) tras actualizacion 15/04/2026. [AUD 15/04/2026]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</si>
</sst>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7" x14ac:knownFonts="1">
    <font>
      <sz val="11"/>
      <color theme="1"/>
      <name val="Calibri"/>
      <family val="2"/>
      <charset val="1"/>
    </font>
    <font>
      <sz val="9"/>
      <color theme="1"/>
      <name val="Montserrat"/>
      <charset val="1"/>
    </font>
    <font>
      <sz val="9"/>
      <color theme="1"/>
      <name val="Arial"/>
      <family val="2"/>
      <charset val="1"/>
    </font>
    <font>
      <b/>
      <sz val="9"/>
      <color theme="1"/>
      <name val="Montserrat"/>
      <charset val="1"/>
    </font>
    <font>
      <b/>
      <sz val="9"/>
      <color theme="4"/>
      <name val="Montserrat"/>
      <charset val="1"/>
    </font>
    <font>
      <b/>
      <sz val="9"/>
      <color theme="0"/>
      <name val="Montserrat"/>
      <charset val="1"/>
    </font>
    <font>
      <sz val="8"/>
      <color theme="1"/>
      <name val="Montserrat"/>
      <charset val="1"/>
    </font>
    <font>
      <b/>
      <sz val="9"/>
      <color rgb="FFC00000"/>
      <name val="Montserrat"/>
      <charset val="1"/>
    </font>
    <font>
      <sz val="9"/>
      <name val="Montserrat"/>
      <charset val="1"/>
    </font>
    <font>
      <sz val="9"/>
      <color rgb="FFFF0000"/>
      <name val="Montserrat"/>
      <charset val="1"/>
    </font>
    <font>
      <b/>
      <sz val="8"/>
      <color rgb="FF000000"/>
      <name val="Montserrat"/>
      <charset val="1"/>
    </font>
    <font>
      <b/>
      <sz val="8"/>
      <color theme="1"/>
      <name val="Montserrat"/>
      <charset val="1"/>
    </font>
    <font>
      <b/>
      <sz val="8"/>
      <color rgb="FFC00000"/>
      <name val="Montserrat"/>
      <charset val="1"/>
    </font>
    <font>
      <b/>
      <sz val="9"/>
      <color rgb="FFFFFFFF"/>
      <name val="Montserrat"/>
      <charset val="1"/>
    </font>
    <font>
      <b/>
      <sz val="8"/>
      <color rgb="FFFFFFFF"/>
      <name val="Montserrat"/>
      <charset val="1"/>
    </font>
    <font>
      <b/>
      <sz val="9"/>
      <color rgb="FF000000"/>
      <name val="Montserrat"/>
      <charset val="1"/>
    </font>
    <font>
      <sz val="9"/>
      <color rgb="FF000000"/>
      <name val="Montserrat"/>
      <charset val="1"/>
    </font>
  </fonts>
  <fills count="11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  <fill>
      <patternFill patternType="solid">
        <fgColor rgb="FF0070C0"/>
        <bgColor rgb="FF008080"/>
      </patternFill>
    </fill>
    <fill>
      <patternFill patternType="solid">
        <fgColor theme="4"/>
        <bgColor rgb="FF666699"/>
      </patternFill>
    </fill>
    <fill>
      <patternFill patternType="solid">
        <fgColor theme="4" tint="0.39988402966399123"/>
        <bgColor rgb="FF8EAADB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95B3D7"/>
        <bgColor rgb="FF8FAADC"/>
      </patternFill>
    </fill>
    <fill>
      <patternFill patternType="solid">
        <fgColor rgb="FF2F5496"/>
        <bgColor rgb="FF4472C4"/>
      </patternFill>
    </fill>
    <fill>
      <patternFill patternType="solid">
        <fgColor rgb="FF8EAADB"/>
        <bgColor rgb="FF8FAADC"/>
      </patternFill>
    </fill>
    <fill>
      <patternFill patternType="solid">
        <fgColor rgb="FFB4C6E7"/>
        <bgColor rgb="FF95B3D7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1" fillId="3" borderId="0" xfId="0" applyFont="1" applyFill="1"/>
    <xf numFmtId="0" fontId="4" fillId="0" borderId="0" xfId="0" applyFont="1"/>
    <xf numFmtId="4" fontId="1" fillId="0" borderId="0" xfId="0" applyNumberFormat="1" applyFont="1" applyAlignment="1">
      <alignment horizontal="left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4" fontId="6" fillId="5" borderId="2" xfId="0" applyNumberFormat="1" applyFont="1" applyFill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7" fillId="0" borderId="0" xfId="0" applyFont="1"/>
    <xf numFmtId="4" fontId="1" fillId="0" borderId="3" xfId="0" applyNumberFormat="1" applyFont="1" applyBorder="1" applyAlignment="1">
      <alignment horizontal="left" vertical="center"/>
    </xf>
    <xf numFmtId="4" fontId="1" fillId="0" borderId="4" xfId="0" applyNumberFormat="1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6" fillId="5" borderId="2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0" fontId="9" fillId="3" borderId="0" xfId="0" applyFont="1" applyFill="1"/>
    <xf numFmtId="4" fontId="9" fillId="0" borderId="0" xfId="0" applyNumberFormat="1" applyFont="1"/>
    <xf numFmtId="4" fontId="1" fillId="0" borderId="0" xfId="0" applyNumberFormat="1" applyFont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4" fontId="6" fillId="0" borderId="7" xfId="0" applyNumberFormat="1" applyFont="1" applyBorder="1" applyAlignment="1">
      <alignment horizontal="right" vertical="center"/>
    </xf>
    <xf numFmtId="4" fontId="2" fillId="0" borderId="0" xfId="0" applyNumberFormat="1" applyFont="1"/>
    <xf numFmtId="0" fontId="6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/>
    </xf>
    <xf numFmtId="4" fontId="11" fillId="0" borderId="7" xfId="0" applyNumberFormat="1" applyFont="1" applyBorder="1" applyAlignment="1">
      <alignment horizontal="right" vertical="center"/>
    </xf>
    <xf numFmtId="0" fontId="12" fillId="0" borderId="0" xfId="0" applyFont="1"/>
    <xf numFmtId="0" fontId="1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16" fillId="10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4" fontId="1" fillId="0" borderId="2" xfId="0" applyNumberFormat="1" applyFont="1" applyBorder="1" applyAlignment="1">
      <alignment horizontal="left" vertical="center"/>
    </xf>
    <xf numFmtId="0" fontId="0" fillId="0" borderId="4" xfId="0" applyBorder="1"/>
    <xf numFmtId="49" fontId="1" fillId="0" borderId="2" xfId="0" applyNumberFormat="1" applyFont="1" applyBorder="1" applyAlignment="1">
      <alignment horizontal="right" vertical="center"/>
    </xf>
    <xf numFmtId="0" fontId="1" fillId="5" borderId="2" xfId="0" applyFont="1" applyFill="1" applyBorder="1" applyAlignment="1">
      <alignment horizontal="center" vertical="center"/>
    </xf>
    <xf numFmtId="4" fontId="3" fillId="0" borderId="2" xfId="0" applyNumberFormat="1" applyFont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0" fillId="0" borderId="8" xfId="0" applyBorder="1"/>
    <xf numFmtId="0" fontId="0" fillId="0" borderId="5" xfId="0" applyBorder="1"/>
    <xf numFmtId="0" fontId="5" fillId="4" borderId="2" xfId="0" applyFont="1" applyFill="1" applyBorder="1" applyAlignment="1">
      <alignment horizontal="center" vertical="center"/>
    </xf>
    <xf numFmtId="0" fontId="0" fillId="0" borderId="9" xfId="0" applyBorder="1"/>
    <xf numFmtId="0" fontId="3" fillId="6" borderId="2" xfId="0" applyFont="1" applyFill="1" applyBorder="1" applyAlignment="1">
      <alignment horizontal="center" vertical="center"/>
    </xf>
    <xf numFmtId="4" fontId="6" fillId="5" borderId="3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center" vertical="center" wrapText="1"/>
    </xf>
    <xf numFmtId="0" fontId="0" fillId="0" borderId="10" xfId="0" applyBorder="1"/>
    <xf numFmtId="0" fontId="14" fillId="8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4C6E7"/>
      <rgbColor rgb="FF808080"/>
      <rgbColor rgb="FF8FAADC"/>
      <rgbColor rgb="FF993366"/>
      <rgbColor rgb="FFFFF2CC"/>
      <rgbColor rgb="FFCCFFFF"/>
      <rgbColor rgb="FF660066"/>
      <rgbColor rgb="FFFF8080"/>
      <rgbColor rgb="FF0070C0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8EAADB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topLeftCell="B61" zoomScale="85" zoomScaleNormal="85" workbookViewId="0">
      <selection activeCell="L94" sqref="L94"/>
    </sheetView>
  </sheetViews>
  <sheetFormatPr baseColWidth="10" defaultColWidth="11.42578125" defaultRowHeight="13.5" x14ac:dyDescent="0.25"/>
  <cols>
    <col min="1" max="1" width="2.140625" style="1" customWidth="1"/>
    <col min="2" max="2" width="2.85546875" style="1" customWidth="1"/>
    <col min="3" max="3" width="34" style="2" customWidth="1"/>
    <col min="4" max="4" width="30.28515625" style="2" customWidth="1"/>
    <col min="5" max="5" width="9.28515625" style="1" customWidth="1"/>
    <col min="6" max="6" width="10.140625" style="1" customWidth="1"/>
    <col min="7" max="7" width="9.85546875" style="2" customWidth="1"/>
    <col min="8" max="8" width="3.7109375" style="1" customWidth="1"/>
    <col min="9" max="9" width="60.5703125" style="1" customWidth="1"/>
    <col min="10" max="10" width="16.140625" style="3" customWidth="1"/>
    <col min="11" max="11" width="37.42578125" style="3" customWidth="1"/>
    <col min="12" max="12" width="11.42578125" style="3" customWidth="1"/>
    <col min="13" max="16384" width="11.42578125" style="3"/>
  </cols>
  <sheetData>
    <row r="1" spans="1:9" ht="14.25" customHeight="1" x14ac:dyDescent="0.25"/>
    <row r="2" spans="1:9" ht="15.75" customHeight="1" x14ac:dyDescent="0.25">
      <c r="B2" s="53" t="s">
        <v>0</v>
      </c>
      <c r="C2" s="54"/>
      <c r="D2" s="54"/>
      <c r="E2" s="54"/>
      <c r="F2" s="54"/>
      <c r="G2" s="55"/>
    </row>
    <row r="4" spans="1:9" ht="13.5" customHeight="1" x14ac:dyDescent="0.25">
      <c r="A4" s="4"/>
      <c r="B4" s="5" t="s">
        <v>1</v>
      </c>
    </row>
    <row r="5" spans="1:9" ht="13.5" customHeight="1" x14ac:dyDescent="0.25">
      <c r="B5" s="1" t="s">
        <v>2</v>
      </c>
    </row>
    <row r="6" spans="1:9" ht="13.5" customHeight="1" x14ac:dyDescent="0.25">
      <c r="C6" s="6"/>
      <c r="D6" s="6"/>
      <c r="G6" s="6"/>
    </row>
    <row r="7" spans="1:9" ht="18.75" customHeight="1" x14ac:dyDescent="0.25">
      <c r="C7" s="56" t="s">
        <v>3</v>
      </c>
      <c r="D7" s="57"/>
      <c r="E7" s="57"/>
      <c r="F7" s="57"/>
      <c r="G7" s="48"/>
    </row>
    <row r="8" spans="1:9" ht="26.25" customHeight="1" x14ac:dyDescent="0.25">
      <c r="C8" s="50"/>
      <c r="D8" s="48"/>
      <c r="E8" s="7" t="s">
        <v>4</v>
      </c>
      <c r="F8" s="8" t="s">
        <v>5</v>
      </c>
      <c r="G8" s="9" t="s">
        <v>6</v>
      </c>
    </row>
    <row r="9" spans="1:9" ht="13.5" customHeight="1" x14ac:dyDescent="0.25">
      <c r="C9" s="47" t="s">
        <v>7</v>
      </c>
      <c r="D9" s="48"/>
      <c r="E9" s="10">
        <v>4204.09</v>
      </c>
      <c r="F9" s="10" t="s">
        <v>8</v>
      </c>
      <c r="G9" s="10">
        <f>(E9*1.15)*1.5</f>
        <v>12023.249999999998</v>
      </c>
      <c r="I9" s="11" t="s">
        <v>9</v>
      </c>
    </row>
    <row r="10" spans="1:9" ht="13.5" customHeight="1" x14ac:dyDescent="0.25">
      <c r="C10" s="12" t="s">
        <v>10</v>
      </c>
      <c r="D10" s="13"/>
      <c r="E10" s="10">
        <v>21000</v>
      </c>
      <c r="F10" s="10" t="s">
        <v>8</v>
      </c>
      <c r="G10" s="10">
        <f>(E10*1.15)*1.5</f>
        <v>36224.999999999993</v>
      </c>
      <c r="I10" s="11" t="s">
        <v>11</v>
      </c>
    </row>
    <row r="11" spans="1:9" ht="13.5" customHeight="1" x14ac:dyDescent="0.25">
      <c r="C11" s="51" t="s">
        <v>12</v>
      </c>
      <c r="D11" s="48"/>
      <c r="E11" s="10">
        <v>33280</v>
      </c>
      <c r="F11" s="14"/>
      <c r="G11" s="10">
        <f>SUM(G9:G10)</f>
        <v>48248.249999999993</v>
      </c>
    </row>
    <row r="14" spans="1:9" ht="13.5" customHeight="1" x14ac:dyDescent="0.25">
      <c r="A14" s="4"/>
      <c r="B14" s="5" t="s">
        <v>13</v>
      </c>
    </row>
    <row r="15" spans="1:9" ht="13.5" customHeight="1" x14ac:dyDescent="0.25">
      <c r="B15" s="15" t="s">
        <v>14</v>
      </c>
    </row>
    <row r="16" spans="1:9" ht="13.5" customHeight="1" x14ac:dyDescent="0.25">
      <c r="B16" s="15"/>
    </row>
    <row r="17" spans="2:9" ht="18.75" customHeight="1" x14ac:dyDescent="0.25">
      <c r="C17" s="56" t="s">
        <v>15</v>
      </c>
      <c r="D17" s="57"/>
      <c r="E17" s="57"/>
      <c r="F17" s="57"/>
      <c r="G17" s="48"/>
    </row>
    <row r="18" spans="2:9" ht="26.25" customHeight="1" x14ac:dyDescent="0.25">
      <c r="C18" s="52" t="s">
        <v>16</v>
      </c>
      <c r="D18" s="48"/>
      <c r="E18" s="7" t="s">
        <v>17</v>
      </c>
      <c r="F18" s="7" t="s">
        <v>18</v>
      </c>
      <c r="G18" s="9" t="s">
        <v>19</v>
      </c>
    </row>
    <row r="19" spans="2:9" ht="24.75" customHeight="1" x14ac:dyDescent="0.25">
      <c r="C19" s="47">
        <v>33032</v>
      </c>
      <c r="D19" s="48"/>
      <c r="E19" s="16" t="s">
        <v>20</v>
      </c>
      <c r="F19" s="17">
        <v>1.5</v>
      </c>
      <c r="G19" s="10">
        <f>C19*0.2*F19</f>
        <v>9909.6</v>
      </c>
      <c r="I19" s="11" t="s">
        <v>21</v>
      </c>
    </row>
    <row r="20" spans="2:9" ht="13.5" customHeight="1" x14ac:dyDescent="0.25">
      <c r="C20" s="18"/>
      <c r="D20" s="18"/>
      <c r="E20" s="19"/>
      <c r="F20" s="19"/>
      <c r="G20" s="18"/>
    </row>
    <row r="21" spans="2:9" ht="13.5" customHeight="1" x14ac:dyDescent="0.25">
      <c r="B21" s="15" t="s">
        <v>22</v>
      </c>
      <c r="C21" s="18"/>
      <c r="D21" s="18"/>
      <c r="E21" s="19"/>
      <c r="F21" s="19"/>
      <c r="G21" s="18"/>
    </row>
    <row r="22" spans="2:9" ht="18.75" customHeight="1" x14ac:dyDescent="0.25">
      <c r="C22" s="56" t="s">
        <v>23</v>
      </c>
      <c r="D22" s="57"/>
      <c r="E22" s="57"/>
      <c r="F22" s="57"/>
      <c r="G22" s="48"/>
    </row>
    <row r="23" spans="2:9" ht="39" customHeight="1" x14ac:dyDescent="0.25">
      <c r="C23" s="50" t="s">
        <v>24</v>
      </c>
      <c r="D23" s="48"/>
      <c r="E23" s="7" t="s">
        <v>25</v>
      </c>
      <c r="F23" s="7" t="s">
        <v>26</v>
      </c>
      <c r="G23" s="20" t="s">
        <v>27</v>
      </c>
    </row>
    <row r="24" spans="2:9" ht="18.75" customHeight="1" x14ac:dyDescent="0.25">
      <c r="C24" s="58" t="s">
        <v>28</v>
      </c>
      <c r="D24" s="57"/>
      <c r="E24" s="57"/>
      <c r="F24" s="57"/>
      <c r="G24" s="48"/>
      <c r="I24" s="3"/>
    </row>
    <row r="25" spans="2:9" ht="13.5" customHeight="1" x14ac:dyDescent="0.25">
      <c r="C25" s="47" t="s">
        <v>29</v>
      </c>
      <c r="D25" s="48"/>
      <c r="E25" s="17">
        <v>5</v>
      </c>
      <c r="F25" s="10">
        <f>(G19*E25)/100</f>
        <v>495.48</v>
      </c>
      <c r="G25" s="10">
        <f>F25/2.3</f>
        <v>215.42608695652177</v>
      </c>
    </row>
    <row r="26" spans="2:9" ht="13.5" customHeight="1" x14ac:dyDescent="0.25">
      <c r="C26" s="47" t="s">
        <v>30</v>
      </c>
      <c r="D26" s="48"/>
      <c r="E26" s="17">
        <v>4</v>
      </c>
      <c r="F26" s="10">
        <f>(G19*E26)/100</f>
        <v>396.38400000000001</v>
      </c>
      <c r="G26" s="10">
        <f>F26/0.6</f>
        <v>660.6400000000001</v>
      </c>
    </row>
    <row r="27" spans="2:9" ht="13.5" customHeight="1" x14ac:dyDescent="0.25">
      <c r="C27" s="47" t="s">
        <v>31</v>
      </c>
      <c r="D27" s="48"/>
      <c r="E27" s="17">
        <v>2.5</v>
      </c>
      <c r="F27" s="10">
        <f>(G19*E27)/100</f>
        <v>247.74</v>
      </c>
      <c r="G27" s="10">
        <f>F27/7.5</f>
        <v>33.032000000000004</v>
      </c>
    </row>
    <row r="28" spans="2:9" ht="13.5" customHeight="1" x14ac:dyDescent="0.25">
      <c r="C28" s="47" t="s">
        <v>32</v>
      </c>
      <c r="D28" s="48"/>
      <c r="E28" s="17">
        <v>0.3</v>
      </c>
      <c r="F28" s="10">
        <f>(G19*E28)/100</f>
        <v>29.7288</v>
      </c>
      <c r="G28" s="10">
        <f>F28/1.1</f>
        <v>27.026181818181815</v>
      </c>
    </row>
    <row r="29" spans="2:9" ht="13.5" customHeight="1" x14ac:dyDescent="0.25">
      <c r="C29" s="47" t="s">
        <v>33</v>
      </c>
      <c r="D29" s="48"/>
      <c r="E29" s="17">
        <v>1.5</v>
      </c>
      <c r="F29" s="10">
        <f>(G19*E29)/100</f>
        <v>148.64400000000001</v>
      </c>
      <c r="G29" s="10">
        <f>F29/1.4</f>
        <v>106.17428571428573</v>
      </c>
    </row>
    <row r="30" spans="2:9" ht="13.5" customHeight="1" x14ac:dyDescent="0.25">
      <c r="C30" s="47" t="s">
        <v>34</v>
      </c>
      <c r="D30" s="48"/>
      <c r="E30" s="17">
        <v>0.5</v>
      </c>
      <c r="F30" s="10">
        <f>(G19*E30)/100</f>
        <v>49.548000000000002</v>
      </c>
      <c r="G30" s="10">
        <f>F30/2.5</f>
        <v>19.819200000000002</v>
      </c>
    </row>
    <row r="31" spans="2:9" ht="13.5" customHeight="1" x14ac:dyDescent="0.25">
      <c r="C31" s="47" t="s">
        <v>35</v>
      </c>
      <c r="D31" s="48"/>
      <c r="E31" s="17">
        <v>0.2</v>
      </c>
      <c r="F31" s="10">
        <f>(G19*E31)/100</f>
        <v>19.819200000000002</v>
      </c>
      <c r="G31" s="10">
        <f>F31/1.5</f>
        <v>13.212800000000001</v>
      </c>
    </row>
    <row r="32" spans="2:9" ht="15" customHeight="1" x14ac:dyDescent="0.25">
      <c r="C32" s="51" t="s">
        <v>36</v>
      </c>
      <c r="D32" s="48"/>
      <c r="E32" s="17">
        <f>SUM(E25:E31)</f>
        <v>14</v>
      </c>
      <c r="F32" s="14">
        <f>SUM(F25:F31)</f>
        <v>1387.3440000000001</v>
      </c>
      <c r="G32" s="10">
        <f>SUM(G25:G31)</f>
        <v>1075.3305544889895</v>
      </c>
    </row>
    <row r="33" spans="1:9" ht="18.75" customHeight="1" x14ac:dyDescent="0.25">
      <c r="C33" s="58" t="s">
        <v>37</v>
      </c>
      <c r="D33" s="57"/>
      <c r="E33" s="57"/>
      <c r="F33" s="57"/>
      <c r="G33" s="48"/>
      <c r="I33" s="3"/>
    </row>
    <row r="34" spans="1:9" ht="15" customHeight="1" x14ac:dyDescent="0.25">
      <c r="C34" s="47" t="s">
        <v>38</v>
      </c>
      <c r="D34" s="48"/>
      <c r="E34" s="17">
        <v>4</v>
      </c>
      <c r="F34" s="10">
        <f>(G19*E34)/100</f>
        <v>396.38400000000001</v>
      </c>
      <c r="G34" s="10">
        <f>F34/1.5</f>
        <v>264.25600000000003</v>
      </c>
    </row>
    <row r="35" spans="1:9" ht="15" customHeight="1" x14ac:dyDescent="0.25">
      <c r="C35" s="47" t="s">
        <v>39</v>
      </c>
      <c r="D35" s="48"/>
      <c r="E35" s="17">
        <v>12</v>
      </c>
      <c r="F35" s="10">
        <f>(G19*E35)/100</f>
        <v>1189.152</v>
      </c>
      <c r="G35" s="10">
        <f>F35/2.4</f>
        <v>495.48</v>
      </c>
    </row>
    <row r="36" spans="1:9" ht="15" customHeight="1" x14ac:dyDescent="0.25">
      <c r="C36" s="47" t="s">
        <v>40</v>
      </c>
      <c r="D36" s="48"/>
      <c r="E36" s="17">
        <v>15</v>
      </c>
      <c r="F36" s="10">
        <f>(G19*E36)/100</f>
        <v>1486.44</v>
      </c>
      <c r="G36" s="10">
        <f>F36/1.35</f>
        <v>1101.0666666666666</v>
      </c>
    </row>
    <row r="37" spans="1:9" ht="15" customHeight="1" x14ac:dyDescent="0.25">
      <c r="C37" s="47" t="s">
        <v>41</v>
      </c>
      <c r="D37" s="48"/>
      <c r="E37" s="17">
        <v>5</v>
      </c>
      <c r="F37" s="10">
        <f>(G19*E37)/100</f>
        <v>495.48</v>
      </c>
      <c r="G37" s="10">
        <f>F37/2.5</f>
        <v>198.19200000000001</v>
      </c>
    </row>
    <row r="38" spans="1:9" ht="15" customHeight="1" x14ac:dyDescent="0.25">
      <c r="C38" s="51" t="s">
        <v>42</v>
      </c>
      <c r="D38" s="48"/>
      <c r="E38" s="17">
        <f>SUM(E34:E37)</f>
        <v>36</v>
      </c>
      <c r="F38" s="14">
        <f>SUM(F34:F37)</f>
        <v>3567.4560000000001</v>
      </c>
      <c r="G38" s="10">
        <f>SUM(G34:G37)</f>
        <v>2058.9946666666665</v>
      </c>
    </row>
    <row r="39" spans="1:9" ht="18.75" customHeight="1" x14ac:dyDescent="0.25">
      <c r="C39" s="58" t="s">
        <v>43</v>
      </c>
      <c r="D39" s="57"/>
      <c r="E39" s="57"/>
      <c r="F39" s="57"/>
      <c r="G39" s="48"/>
      <c r="I39" s="3"/>
    </row>
    <row r="40" spans="1:9" ht="15" customHeight="1" x14ac:dyDescent="0.25">
      <c r="C40" s="47" t="s">
        <v>44</v>
      </c>
      <c r="D40" s="48"/>
      <c r="E40" s="17">
        <v>7</v>
      </c>
      <c r="F40" s="10">
        <f>(G19*E40)/100</f>
        <v>693.67200000000003</v>
      </c>
      <c r="G40" s="10">
        <f>F40/0.6</f>
        <v>1156.1200000000001</v>
      </c>
    </row>
    <row r="41" spans="1:9" ht="15" customHeight="1" x14ac:dyDescent="0.25">
      <c r="C41" s="47" t="s">
        <v>45</v>
      </c>
      <c r="D41" s="48"/>
      <c r="E41" s="17">
        <v>4</v>
      </c>
      <c r="F41" s="10">
        <f>(G19*E41)/100</f>
        <v>396.38400000000001</v>
      </c>
      <c r="G41" s="10">
        <f>F41/1.1</f>
        <v>360.34909090909088</v>
      </c>
    </row>
    <row r="42" spans="1:9" ht="15" customHeight="1" x14ac:dyDescent="0.25">
      <c r="C42" s="51" t="s">
        <v>46</v>
      </c>
      <c r="D42" s="48"/>
      <c r="E42" s="17">
        <f>SUM(E40:E41)</f>
        <v>11</v>
      </c>
      <c r="F42" s="14">
        <f>SUM(F40:F41)</f>
        <v>1090.056</v>
      </c>
      <c r="G42" s="10">
        <f>SUM(G40:G41)</f>
        <v>1516.4690909090909</v>
      </c>
    </row>
    <row r="43" spans="1:9" ht="15" customHeight="1" x14ac:dyDescent="0.25">
      <c r="C43" s="21"/>
      <c r="D43" s="21"/>
      <c r="E43" s="19"/>
      <c r="F43" s="22"/>
      <c r="G43" s="18"/>
    </row>
    <row r="44" spans="1:9" ht="15" customHeight="1" x14ac:dyDescent="0.25">
      <c r="C44" s="21"/>
      <c r="D44" s="21"/>
      <c r="E44" s="19"/>
      <c r="F44" s="22"/>
      <c r="G44" s="18"/>
    </row>
    <row r="45" spans="1:9" ht="13.5" customHeight="1" x14ac:dyDescent="0.25">
      <c r="A45" s="23"/>
      <c r="B45" s="5" t="s">
        <v>47</v>
      </c>
      <c r="C45" s="24"/>
    </row>
    <row r="46" spans="1:9" ht="13.5" customHeight="1" x14ac:dyDescent="0.25">
      <c r="B46" s="15" t="s">
        <v>48</v>
      </c>
    </row>
    <row r="47" spans="1:9" ht="13.5" customHeight="1" x14ac:dyDescent="0.25">
      <c r="B47" s="15"/>
    </row>
    <row r="48" spans="1:9" ht="25.5" customHeight="1" x14ac:dyDescent="0.25">
      <c r="C48" s="56" t="s">
        <v>49</v>
      </c>
      <c r="D48" s="57"/>
      <c r="E48" s="57"/>
      <c r="F48" s="57"/>
      <c r="G48" s="57"/>
      <c r="H48" s="48"/>
    </row>
    <row r="49" spans="2:9" ht="26.25" customHeight="1" x14ac:dyDescent="0.25">
      <c r="C49" s="52" t="s">
        <v>50</v>
      </c>
      <c r="D49" s="48"/>
      <c r="E49" s="60" t="s">
        <v>51</v>
      </c>
      <c r="F49" s="48"/>
      <c r="G49" s="59" t="s">
        <v>52</v>
      </c>
      <c r="H49" s="57"/>
    </row>
    <row r="50" spans="2:9" ht="13.5" customHeight="1" x14ac:dyDescent="0.25">
      <c r="C50" s="47" t="s">
        <v>53</v>
      </c>
      <c r="D50" s="48"/>
      <c r="E50" s="10">
        <v>207</v>
      </c>
      <c r="F50" s="17" t="s">
        <v>54</v>
      </c>
      <c r="G50" s="10">
        <f>E50/0.3</f>
        <v>690</v>
      </c>
      <c r="H50" s="17" t="s">
        <v>55</v>
      </c>
      <c r="I50" s="11" t="s">
        <v>56</v>
      </c>
    </row>
    <row r="51" spans="2:9" ht="13.5" customHeight="1" x14ac:dyDescent="0.25">
      <c r="C51" s="47" t="s">
        <v>57</v>
      </c>
      <c r="D51" s="48"/>
      <c r="E51" s="10">
        <v>339.39</v>
      </c>
      <c r="F51" s="17" t="s">
        <v>55</v>
      </c>
      <c r="G51" s="10">
        <f>E51</f>
        <v>339.39</v>
      </c>
      <c r="H51" s="17" t="s">
        <v>55</v>
      </c>
      <c r="I51" s="11" t="s">
        <v>58</v>
      </c>
    </row>
    <row r="52" spans="2:9" ht="13.5" customHeight="1" x14ac:dyDescent="0.25">
      <c r="C52" s="47" t="s">
        <v>59</v>
      </c>
      <c r="D52" s="48"/>
      <c r="E52" s="10">
        <v>5331.02</v>
      </c>
      <c r="F52" s="17" t="s">
        <v>55</v>
      </c>
      <c r="G52" s="10">
        <f>E52</f>
        <v>5331.02</v>
      </c>
      <c r="H52" s="17" t="s">
        <v>55</v>
      </c>
      <c r="I52" s="11" t="s">
        <v>60</v>
      </c>
    </row>
    <row r="53" spans="2:9" ht="13.5" customHeight="1" x14ac:dyDescent="0.25">
      <c r="C53" s="47" t="s">
        <v>61</v>
      </c>
      <c r="D53" s="48"/>
      <c r="E53" s="10">
        <v>1197</v>
      </c>
      <c r="F53" s="17" t="s">
        <v>62</v>
      </c>
      <c r="G53" s="10">
        <f>E53</f>
        <v>1197</v>
      </c>
      <c r="H53" s="17" t="s">
        <v>62</v>
      </c>
      <c r="I53" s="11" t="s">
        <v>63</v>
      </c>
    </row>
    <row r="54" spans="2:9" ht="13.5" customHeight="1" x14ac:dyDescent="0.25">
      <c r="C54" s="47" t="s">
        <v>64</v>
      </c>
      <c r="D54" s="48"/>
      <c r="E54" s="10">
        <v>35</v>
      </c>
      <c r="F54" s="17" t="s">
        <v>55</v>
      </c>
      <c r="G54" s="10">
        <f>E54/2</f>
        <v>17.5</v>
      </c>
      <c r="H54" s="17" t="s">
        <v>62</v>
      </c>
      <c r="I54" s="11" t="s">
        <v>65</v>
      </c>
    </row>
    <row r="55" spans="2:9" ht="13.5" customHeight="1" x14ac:dyDescent="0.25">
      <c r="C55" s="47" t="s">
        <v>66</v>
      </c>
      <c r="D55" s="48"/>
      <c r="E55" s="10">
        <v>229.738</v>
      </c>
      <c r="F55" s="17" t="s">
        <v>62</v>
      </c>
      <c r="G55" s="10">
        <f>E55</f>
        <v>229.738</v>
      </c>
      <c r="H55" s="17" t="s">
        <v>62</v>
      </c>
    </row>
    <row r="56" spans="2:9" ht="13.5" customHeight="1" x14ac:dyDescent="0.25">
      <c r="C56" s="47" t="s">
        <v>67</v>
      </c>
      <c r="D56" s="48"/>
      <c r="E56" s="10">
        <v>10</v>
      </c>
      <c r="F56" s="17" t="s">
        <v>54</v>
      </c>
      <c r="G56" s="10">
        <f>E56</f>
        <v>10</v>
      </c>
      <c r="H56" s="17" t="s">
        <v>54</v>
      </c>
    </row>
    <row r="57" spans="2:9" ht="13.5" customHeight="1" x14ac:dyDescent="0.25">
      <c r="C57" s="47" t="s">
        <v>68</v>
      </c>
      <c r="D57" s="48"/>
      <c r="E57" s="10">
        <v>0</v>
      </c>
      <c r="F57" s="17" t="s">
        <v>62</v>
      </c>
      <c r="G57" s="10">
        <f>E57</f>
        <v>0</v>
      </c>
      <c r="H57" s="17" t="s">
        <v>62</v>
      </c>
      <c r="I57" s="11" t="s">
        <v>69</v>
      </c>
    </row>
    <row r="58" spans="2:9" ht="13.5" customHeight="1" x14ac:dyDescent="0.25">
      <c r="C58" s="25"/>
      <c r="D58" s="25"/>
      <c r="E58" s="19"/>
      <c r="F58" s="19"/>
      <c r="G58" s="18"/>
      <c r="H58" s="19"/>
    </row>
    <row r="59" spans="2:9" ht="13.5" customHeight="1" x14ac:dyDescent="0.25">
      <c r="B59" s="15" t="s">
        <v>23</v>
      </c>
      <c r="C59" s="18"/>
      <c r="D59" s="18"/>
      <c r="E59" s="19"/>
      <c r="F59" s="19"/>
      <c r="G59" s="18"/>
    </row>
    <row r="60" spans="2:9" ht="18.75" customHeight="1" x14ac:dyDescent="0.25">
      <c r="C60" s="56" t="s">
        <v>23</v>
      </c>
      <c r="D60" s="57"/>
      <c r="E60" s="57"/>
      <c r="F60" s="57"/>
      <c r="G60" s="48"/>
    </row>
    <row r="61" spans="2:9" ht="39" customHeight="1" x14ac:dyDescent="0.25">
      <c r="C61" s="50" t="s">
        <v>24</v>
      </c>
      <c r="D61" s="48"/>
      <c r="E61" s="7" t="s">
        <v>25</v>
      </c>
      <c r="F61" s="7" t="s">
        <v>26</v>
      </c>
      <c r="G61" s="20" t="s">
        <v>27</v>
      </c>
    </row>
    <row r="62" spans="2:9" ht="18.75" customHeight="1" x14ac:dyDescent="0.25">
      <c r="C62" s="58" t="s">
        <v>28</v>
      </c>
      <c r="D62" s="57"/>
      <c r="E62" s="57"/>
      <c r="F62" s="57"/>
      <c r="G62" s="48"/>
      <c r="I62" s="3"/>
    </row>
    <row r="63" spans="2:9" ht="13.5" customHeight="1" x14ac:dyDescent="0.25">
      <c r="C63" s="47" t="s">
        <v>29</v>
      </c>
      <c r="D63" s="48"/>
      <c r="E63" s="17"/>
      <c r="F63" s="10"/>
      <c r="G63" s="10"/>
    </row>
    <row r="64" spans="2:9" ht="13.5" customHeight="1" x14ac:dyDescent="0.25">
      <c r="C64" s="49" t="s">
        <v>70</v>
      </c>
      <c r="D64" s="48"/>
      <c r="E64" s="17">
        <v>0.184</v>
      </c>
      <c r="F64" s="10">
        <f>G52*E64</f>
        <v>980.90768000000003</v>
      </c>
      <c r="G64" s="10">
        <f>F64/2.55</f>
        <v>384.66967843137257</v>
      </c>
    </row>
    <row r="65" spans="3:7" ht="13.5" customHeight="1" x14ac:dyDescent="0.25">
      <c r="C65" s="47" t="s">
        <v>30</v>
      </c>
      <c r="D65" s="48"/>
      <c r="E65" s="17"/>
      <c r="F65" s="10"/>
      <c r="G65" s="10"/>
    </row>
    <row r="66" spans="3:7" ht="13.5" customHeight="1" x14ac:dyDescent="0.25">
      <c r="C66" s="49" t="s">
        <v>71</v>
      </c>
      <c r="D66" s="48"/>
      <c r="E66" s="17">
        <v>6.9999999999999999E-4</v>
      </c>
      <c r="F66" s="26">
        <f>G50*E66</f>
        <v>0.48299999999999998</v>
      </c>
      <c r="G66" s="10">
        <f>F66/1.1</f>
        <v>0.43909090909090903</v>
      </c>
    </row>
    <row r="67" spans="3:7" ht="13.5" customHeight="1" x14ac:dyDescent="0.25">
      <c r="C67" s="49" t="s">
        <v>72</v>
      </c>
      <c r="D67" s="48"/>
      <c r="E67" s="17">
        <v>5.0000000000000001E-3</v>
      </c>
      <c r="F67" s="26">
        <f>G56*E67</f>
        <v>0.05</v>
      </c>
      <c r="G67" s="10">
        <f>F67/1.1</f>
        <v>4.5454545454545456E-2</v>
      </c>
    </row>
    <row r="68" spans="3:7" ht="13.5" customHeight="1" x14ac:dyDescent="0.25">
      <c r="C68" s="47" t="s">
        <v>31</v>
      </c>
      <c r="D68" s="48"/>
      <c r="E68" s="17"/>
      <c r="F68" s="10"/>
      <c r="G68" s="10"/>
    </row>
    <row r="69" spans="3:7" ht="13.5" customHeight="1" x14ac:dyDescent="0.25">
      <c r="C69" s="49" t="s">
        <v>73</v>
      </c>
      <c r="D69" s="48"/>
      <c r="E69" s="17">
        <v>5.7000000000000002E-3</v>
      </c>
      <c r="F69" s="10">
        <f>G54*E69</f>
        <v>9.9750000000000005E-2</v>
      </c>
      <c r="G69" s="10">
        <f>F69/7.5</f>
        <v>1.3300000000000001E-2</v>
      </c>
    </row>
    <row r="70" spans="3:7" ht="13.5" customHeight="1" x14ac:dyDescent="0.25">
      <c r="C70" s="49" t="s">
        <v>74</v>
      </c>
      <c r="D70" s="48"/>
      <c r="E70" s="17">
        <v>7.0000000000000001E-3</v>
      </c>
      <c r="F70" s="10">
        <f>G55*E70</f>
        <v>1.608166</v>
      </c>
      <c r="G70" s="10">
        <f>F70/7.5</f>
        <v>0.21442213333333332</v>
      </c>
    </row>
    <row r="71" spans="3:7" ht="13.5" customHeight="1" x14ac:dyDescent="0.25">
      <c r="C71" s="49" t="s">
        <v>72</v>
      </c>
      <c r="D71" s="48"/>
      <c r="E71" s="17">
        <v>0.06</v>
      </c>
      <c r="F71" s="10">
        <f>G56*E71</f>
        <v>0.6</v>
      </c>
      <c r="G71" s="10">
        <f>F71/7.5</f>
        <v>0.08</v>
      </c>
    </row>
    <row r="72" spans="3:7" ht="13.5" customHeight="1" x14ac:dyDescent="0.25">
      <c r="C72" s="47" t="s">
        <v>32</v>
      </c>
      <c r="D72" s="48"/>
      <c r="E72" s="17"/>
      <c r="F72" s="10"/>
      <c r="G72" s="10"/>
    </row>
    <row r="73" spans="3:7" ht="13.5" customHeight="1" x14ac:dyDescent="0.25">
      <c r="C73" s="49" t="s">
        <v>71</v>
      </c>
      <c r="D73" s="48"/>
      <c r="E73" s="17">
        <v>6.9999999999999999E-4</v>
      </c>
      <c r="F73" s="26">
        <f>G53*E73</f>
        <v>0.83789999999999998</v>
      </c>
      <c r="G73" s="10">
        <f>F73/1.1</f>
        <v>0.7617272727272727</v>
      </c>
    </row>
    <row r="74" spans="3:7" ht="13.5" customHeight="1" x14ac:dyDescent="0.25">
      <c r="C74" s="47" t="s">
        <v>33</v>
      </c>
      <c r="D74" s="48"/>
      <c r="E74" s="17"/>
      <c r="F74" s="10"/>
      <c r="G74" s="10"/>
    </row>
    <row r="75" spans="3:7" ht="13.5" customHeight="1" x14ac:dyDescent="0.25">
      <c r="C75" s="49" t="s">
        <v>75</v>
      </c>
      <c r="D75" s="48"/>
      <c r="E75" s="17">
        <v>3.0000000000000001E-5</v>
      </c>
      <c r="F75" s="26">
        <f>G51*E75</f>
        <v>1.01817E-2</v>
      </c>
      <c r="G75" s="26">
        <f>F75/1.4</f>
        <v>7.2726428571428577E-3</v>
      </c>
    </row>
    <row r="76" spans="3:7" ht="13.5" customHeight="1" x14ac:dyDescent="0.25">
      <c r="C76" s="49" t="s">
        <v>71</v>
      </c>
      <c r="D76" s="48"/>
      <c r="E76" s="17">
        <v>6.9999999999999999E-4</v>
      </c>
      <c r="F76" s="26">
        <f>G53*E76</f>
        <v>0.83789999999999998</v>
      </c>
      <c r="G76" s="26">
        <f>F76/1.4</f>
        <v>0.59850000000000003</v>
      </c>
    </row>
    <row r="77" spans="3:7" ht="13.5" customHeight="1" x14ac:dyDescent="0.25">
      <c r="C77" s="49" t="s">
        <v>72</v>
      </c>
      <c r="D77" s="48"/>
      <c r="E77" s="17">
        <v>2.9999999999999997E-4</v>
      </c>
      <c r="F77" s="26">
        <f>G56*E77</f>
        <v>2.9999999999999996E-3</v>
      </c>
      <c r="G77" s="26">
        <f>F77/1.4</f>
        <v>2.1428571428571425E-3</v>
      </c>
    </row>
    <row r="78" spans="3:7" ht="13.5" customHeight="1" x14ac:dyDescent="0.25">
      <c r="C78" s="47" t="s">
        <v>34</v>
      </c>
      <c r="D78" s="48"/>
      <c r="E78" s="17">
        <v>0</v>
      </c>
      <c r="F78" s="10">
        <f>(G50*E78)/100</f>
        <v>0</v>
      </c>
      <c r="G78" s="10">
        <f>F78/2.5</f>
        <v>0</v>
      </c>
    </row>
    <row r="79" spans="3:7" ht="13.5" customHeight="1" x14ac:dyDescent="0.25">
      <c r="C79" s="47" t="s">
        <v>35</v>
      </c>
      <c r="D79" s="48"/>
      <c r="E79" s="17"/>
      <c r="F79" s="10"/>
      <c r="G79" s="10"/>
    </row>
    <row r="80" spans="3:7" ht="13.5" customHeight="1" x14ac:dyDescent="0.25">
      <c r="C80" s="49" t="s">
        <v>71</v>
      </c>
      <c r="D80" s="48"/>
      <c r="E80" s="17">
        <v>2E-3</v>
      </c>
      <c r="F80" s="26">
        <f>G53*E80</f>
        <v>2.3940000000000001</v>
      </c>
      <c r="G80" s="10">
        <f>F80/1.5</f>
        <v>1.5960000000000001</v>
      </c>
    </row>
    <row r="81" spans="3:13" ht="13.5" customHeight="1" x14ac:dyDescent="0.25">
      <c r="C81" s="51" t="s">
        <v>36</v>
      </c>
      <c r="D81" s="48"/>
      <c r="E81" s="17"/>
      <c r="F81" s="14">
        <f>SUM(F63:F80)</f>
        <v>987.83157769999991</v>
      </c>
      <c r="G81" s="14">
        <f>SUM(G63:G80)</f>
        <v>388.42758879197868</v>
      </c>
    </row>
    <row r="82" spans="3:13" ht="18.75" customHeight="1" x14ac:dyDescent="0.25">
      <c r="C82" s="58" t="s">
        <v>37</v>
      </c>
      <c r="D82" s="57"/>
      <c r="E82" s="57"/>
      <c r="F82" s="57"/>
      <c r="G82" s="48"/>
      <c r="I82" s="3"/>
    </row>
    <row r="83" spans="3:13" ht="13.5" customHeight="1" x14ac:dyDescent="0.25">
      <c r="C83" s="47" t="s">
        <v>38</v>
      </c>
      <c r="D83" s="48"/>
      <c r="E83" s="17"/>
      <c r="F83" s="10"/>
      <c r="G83" s="10"/>
    </row>
    <row r="84" spans="3:13" ht="13.5" customHeight="1" x14ac:dyDescent="0.25">
      <c r="C84" s="49" t="s">
        <v>71</v>
      </c>
      <c r="D84" s="48"/>
      <c r="E84" s="27">
        <v>0.83</v>
      </c>
      <c r="F84" s="10">
        <f>G53*E84</f>
        <v>993.51</v>
      </c>
      <c r="G84" s="10">
        <f>F84/1.5</f>
        <v>662.34</v>
      </c>
    </row>
    <row r="85" spans="3:13" ht="13.5" customHeight="1" x14ac:dyDescent="0.25">
      <c r="C85" s="47" t="s">
        <v>76</v>
      </c>
      <c r="D85" s="48"/>
      <c r="E85" s="17"/>
      <c r="F85" s="10"/>
      <c r="G85" s="10"/>
    </row>
    <row r="86" spans="3:13" ht="15" customHeight="1" x14ac:dyDescent="0.25">
      <c r="C86" s="49" t="s">
        <v>77</v>
      </c>
      <c r="D86" s="48"/>
      <c r="E86" s="17">
        <v>3.5999999999999997E-2</v>
      </c>
      <c r="F86" s="27">
        <f>G50*E86</f>
        <v>24.84</v>
      </c>
      <c r="G86" s="10">
        <f>F86/2.4</f>
        <v>10.35</v>
      </c>
    </row>
    <row r="87" spans="3:13" ht="15" customHeight="1" x14ac:dyDescent="0.25">
      <c r="C87" s="49" t="s">
        <v>75</v>
      </c>
      <c r="D87" s="48"/>
      <c r="E87" s="26">
        <v>0.23</v>
      </c>
      <c r="F87" s="27">
        <f>G51*E87</f>
        <v>78.059700000000007</v>
      </c>
      <c r="G87" s="10">
        <f>F87/2.4</f>
        <v>32.524875000000002</v>
      </c>
    </row>
    <row r="88" spans="3:13" ht="15" customHeight="1" x14ac:dyDescent="0.25">
      <c r="C88" s="49" t="s">
        <v>71</v>
      </c>
      <c r="D88" s="48"/>
      <c r="E88" s="26">
        <v>0.112</v>
      </c>
      <c r="F88" s="27">
        <f>G53*E88</f>
        <v>134.06399999999999</v>
      </c>
      <c r="G88" s="10">
        <f>F88/2.4</f>
        <v>55.86</v>
      </c>
    </row>
    <row r="89" spans="3:13" ht="15" customHeight="1" x14ac:dyDescent="0.25">
      <c r="C89" s="49" t="s">
        <v>72</v>
      </c>
      <c r="D89" s="48"/>
      <c r="E89" s="26">
        <v>2.2999999999999998</v>
      </c>
      <c r="F89" s="27">
        <f>G56*E89</f>
        <v>23</v>
      </c>
      <c r="G89" s="10">
        <f>F89/2.4</f>
        <v>9.5833333333333339</v>
      </c>
    </row>
    <row r="90" spans="3:13" ht="14.25" customHeight="1" x14ac:dyDescent="0.25">
      <c r="C90" s="47" t="s">
        <v>40</v>
      </c>
      <c r="D90" s="48"/>
      <c r="E90" s="17"/>
      <c r="F90" s="10"/>
      <c r="G90" s="10"/>
    </row>
    <row r="91" spans="3:13" ht="14.25" customHeight="1" x14ac:dyDescent="0.25">
      <c r="C91" s="49" t="s">
        <v>77</v>
      </c>
      <c r="D91" s="48"/>
      <c r="E91" s="17">
        <v>8.7300000000000003E-2</v>
      </c>
      <c r="F91" s="27">
        <f>G50*E91</f>
        <v>60.237000000000002</v>
      </c>
      <c r="G91" s="10">
        <f>F91/1.35</f>
        <v>44.62</v>
      </c>
      <c r="J91" s="28" t="s">
        <v>78</v>
      </c>
      <c r="K91" s="29" t="s">
        <v>79</v>
      </c>
      <c r="L91" s="29" t="s">
        <v>80</v>
      </c>
    </row>
    <row r="92" spans="3:13" ht="14.25" customHeight="1" x14ac:dyDescent="0.25">
      <c r="C92" s="47" t="s">
        <v>41</v>
      </c>
      <c r="D92" s="48"/>
      <c r="E92" s="17">
        <v>0</v>
      </c>
      <c r="F92" s="10">
        <f>(G50*E92)/100</f>
        <v>0</v>
      </c>
      <c r="G92" s="10">
        <f>F92/2.5</f>
        <v>0</v>
      </c>
      <c r="J92" s="30" t="s">
        <v>81</v>
      </c>
      <c r="K92" s="31" t="s">
        <v>82</v>
      </c>
      <c r="L92" s="32">
        <f>SUM(F38,F93)*6</f>
        <v>29287.000199999999</v>
      </c>
      <c r="M92" s="33"/>
    </row>
    <row r="93" spans="3:13" ht="14.25" customHeight="1" x14ac:dyDescent="0.25">
      <c r="C93" s="51" t="s">
        <v>42</v>
      </c>
      <c r="D93" s="48"/>
      <c r="E93" s="17">
        <f>SUM(E83:E92)</f>
        <v>3.5952999999999999</v>
      </c>
      <c r="F93" s="14">
        <f>SUM(F83:F92)</f>
        <v>1313.7107000000001</v>
      </c>
      <c r="G93" s="14">
        <f>SUM(G83:G92)</f>
        <v>815.2782083333334</v>
      </c>
      <c r="J93" s="30" t="s">
        <v>83</v>
      </c>
      <c r="K93" s="31" t="s">
        <v>84</v>
      </c>
      <c r="L93" s="32">
        <f>SUM(F32,F81)*1.1</f>
        <v>2612.69313547</v>
      </c>
      <c r="M93" s="33"/>
    </row>
    <row r="94" spans="3:13" ht="18.75" customHeight="1" x14ac:dyDescent="0.25">
      <c r="C94" s="58" t="s">
        <v>43</v>
      </c>
      <c r="D94" s="57"/>
      <c r="E94" s="57"/>
      <c r="F94" s="57"/>
      <c r="G94" s="48"/>
      <c r="I94" s="3"/>
      <c r="J94" s="30" t="s">
        <v>85</v>
      </c>
      <c r="K94" s="31" t="s">
        <v>86</v>
      </c>
      <c r="L94" s="32">
        <f>F97*270</f>
        <v>27831.600000000002</v>
      </c>
      <c r="M94" s="33"/>
    </row>
    <row r="95" spans="3:13" ht="14.25" customHeight="1" x14ac:dyDescent="0.25">
      <c r="C95" s="47" t="s">
        <v>44</v>
      </c>
      <c r="D95" s="48"/>
      <c r="E95" s="17">
        <v>8</v>
      </c>
      <c r="F95" s="10">
        <f>(G50*E95)/100</f>
        <v>55.2</v>
      </c>
      <c r="G95" s="10">
        <f>F95/1.8</f>
        <v>30.666666666666668</v>
      </c>
      <c r="J95" s="34" t="s">
        <v>87</v>
      </c>
      <c r="K95" s="35" t="s">
        <v>88</v>
      </c>
      <c r="L95" s="36">
        <f>SUM(L92:L94)</f>
        <v>59731.29</v>
      </c>
      <c r="M95" s="37" t="str">
        <v>TOTAL por mediciones: 59.731,29 EUR. Valor alineado con BC3 (GR-1.18) tras actualizaciÃ³n 15/04/2026. [AUD 15/04/2026]</v>
      </c>
    </row>
    <row r="96" spans="3:13" ht="13.5" customHeight="1" x14ac:dyDescent="0.25">
      <c r="C96" s="47" t="s">
        <v>45</v>
      </c>
      <c r="D96" s="48"/>
      <c r="E96" s="17">
        <v>4</v>
      </c>
      <c r="F96" s="10">
        <f>(G53*E96)/100</f>
        <v>47.88</v>
      </c>
      <c r="G96" s="10">
        <f>F96/1.8</f>
        <v>26.6</v>
      </c>
    </row>
    <row r="97" spans="2:7" ht="13.5" customHeight="1" x14ac:dyDescent="0.25">
      <c r="C97" s="51" t="s">
        <v>46</v>
      </c>
      <c r="D97" s="48"/>
      <c r="E97" s="17">
        <f>SUM(E95:E96)</f>
        <v>12</v>
      </c>
      <c r="F97" s="14">
        <f>SUM(F95:F96)</f>
        <v>103.08000000000001</v>
      </c>
      <c r="G97" s="14">
        <f>SUM(G95:G96)</f>
        <v>57.266666666666666</v>
      </c>
    </row>
    <row r="98" spans="2:7" ht="13.5" customHeight="1" x14ac:dyDescent="0.25">
      <c r="B98" s="5"/>
    </row>
    <row r="99" spans="2:7" ht="13.5" customHeight="1" x14ac:dyDescent="0.25">
      <c r="B99" s="5"/>
    </row>
  </sheetData>
  <mergeCells count="79">
    <mergeCell ref="C19:D19"/>
    <mergeCell ref="C28:D28"/>
    <mergeCell ref="C69:D69"/>
    <mergeCell ref="C30:D30"/>
    <mergeCell ref="C8:D8"/>
    <mergeCell ref="C18:D18"/>
    <mergeCell ref="C24:G24"/>
    <mergeCell ref="C33:G33"/>
    <mergeCell ref="C29:D29"/>
    <mergeCell ref="C65:D65"/>
    <mergeCell ref="C41:D41"/>
    <mergeCell ref="C50:D50"/>
    <mergeCell ref="C48:H48"/>
    <mergeCell ref="C56:D56"/>
    <mergeCell ref="C60:G60"/>
    <mergeCell ref="C64:D64"/>
    <mergeCell ref="G49:H49"/>
    <mergeCell ref="C90:D90"/>
    <mergeCell ref="C71:D71"/>
    <mergeCell ref="C39:G39"/>
    <mergeCell ref="C91:D91"/>
    <mergeCell ref="C57:D57"/>
    <mergeCell ref="C66:D66"/>
    <mergeCell ref="C53:D53"/>
    <mergeCell ref="C77:D77"/>
    <mergeCell ref="C86:D86"/>
    <mergeCell ref="C68:D68"/>
    <mergeCell ref="E49:F49"/>
    <mergeCell ref="C76:D76"/>
    <mergeCell ref="C67:D67"/>
    <mergeCell ref="C83:D83"/>
    <mergeCell ref="C85:D85"/>
    <mergeCell ref="C52:D52"/>
    <mergeCell ref="C82:G82"/>
    <mergeCell ref="C72:D72"/>
    <mergeCell ref="C81:D81"/>
    <mergeCell ref="C97:D97"/>
    <mergeCell ref="C94:G94"/>
    <mergeCell ref="C93:D93"/>
    <mergeCell ref="C92:D92"/>
    <mergeCell ref="C75:D75"/>
    <mergeCell ref="C84:D84"/>
    <mergeCell ref="C89:D89"/>
    <mergeCell ref="C79:D79"/>
    <mergeCell ref="C73:D73"/>
    <mergeCell ref="C54:D54"/>
    <mergeCell ref="C63:D63"/>
    <mergeCell ref="B2:G2"/>
    <mergeCell ref="C42:D42"/>
    <mergeCell ref="C26:D26"/>
    <mergeCell ref="C35:D35"/>
    <mergeCell ref="C25:D25"/>
    <mergeCell ref="C9:D9"/>
    <mergeCell ref="C11:D11"/>
    <mergeCell ref="C17:G17"/>
    <mergeCell ref="C37:D37"/>
    <mergeCell ref="C31:D31"/>
    <mergeCell ref="C40:D40"/>
    <mergeCell ref="C22:G22"/>
    <mergeCell ref="C34:D34"/>
    <mergeCell ref="C27:D27"/>
    <mergeCell ref="C36:D36"/>
    <mergeCell ref="C7:G7"/>
    <mergeCell ref="C96:D96"/>
    <mergeCell ref="C78:D78"/>
    <mergeCell ref="C87:D87"/>
    <mergeCell ref="C23:D23"/>
    <mergeCell ref="C32:D32"/>
    <mergeCell ref="C38:D38"/>
    <mergeCell ref="C49:D49"/>
    <mergeCell ref="C80:D80"/>
    <mergeCell ref="C51:D51"/>
    <mergeCell ref="C95:D95"/>
    <mergeCell ref="C61:D61"/>
    <mergeCell ref="C70:D70"/>
    <mergeCell ref="C62:G62"/>
    <mergeCell ref="C74:D74"/>
    <mergeCell ref="C88:D88"/>
    <mergeCell ref="C55:D5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728"/>
  <sheetViews>
    <sheetView zoomScale="85" zoomScaleNormal="85" workbookViewId="0">
      <selection activeCell="B2" sqref="B2"/>
    </sheetView>
  </sheetViews>
  <sheetFormatPr baseColWidth="10" defaultColWidth="10.7109375" defaultRowHeight="15" x14ac:dyDescent="0.25"/>
  <cols>
    <col min="2" max="2" width="48.28515625" style="38" customWidth="1"/>
    <col min="3" max="3" width="10.42578125" style="17" customWidth="1"/>
    <col min="4" max="5" width="11.42578125" style="39" customWidth="1"/>
    <col min="6" max="7" width="11.42578125" style="17" customWidth="1"/>
  </cols>
  <sheetData>
    <row r="3" spans="2:7" ht="15" customHeight="1" x14ac:dyDescent="0.25">
      <c r="B3" s="67" t="s">
        <v>89</v>
      </c>
      <c r="C3" s="62" t="s">
        <v>90</v>
      </c>
      <c r="D3" s="64" t="s">
        <v>91</v>
      </c>
      <c r="E3" s="64" t="s">
        <v>92</v>
      </c>
      <c r="F3" s="40" t="s">
        <v>93</v>
      </c>
      <c r="G3" s="40" t="s">
        <v>94</v>
      </c>
    </row>
    <row r="4" spans="2:7" ht="28.5" customHeight="1" x14ac:dyDescent="0.25">
      <c r="B4" s="63"/>
      <c r="C4" s="63"/>
      <c r="D4" s="63"/>
      <c r="E4" s="63"/>
      <c r="F4" s="40" t="s">
        <v>95</v>
      </c>
      <c r="G4" s="40" t="s">
        <v>96</v>
      </c>
    </row>
    <row r="5" spans="2:7" ht="15" customHeight="1" x14ac:dyDescent="0.25">
      <c r="B5" s="66" t="s">
        <v>97</v>
      </c>
      <c r="C5" s="57"/>
      <c r="D5" s="57"/>
      <c r="E5" s="57"/>
      <c r="F5" s="57"/>
      <c r="G5" s="48"/>
    </row>
    <row r="6" spans="2:7" s="41" customFormat="1" ht="15" customHeight="1" x14ac:dyDescent="0.25">
      <c r="B6" s="61" t="s">
        <v>98</v>
      </c>
      <c r="C6" s="57"/>
      <c r="D6" s="57"/>
      <c r="E6" s="57"/>
      <c r="F6" s="57"/>
      <c r="G6" s="48"/>
    </row>
    <row r="7" spans="2:7" ht="38.25" customHeight="1" x14ac:dyDescent="0.25">
      <c r="B7" s="42" t="s">
        <v>99</v>
      </c>
      <c r="C7" s="17" t="s">
        <v>100</v>
      </c>
      <c r="D7" s="39" t="s">
        <v>101</v>
      </c>
      <c r="E7" s="39" t="s">
        <v>102</v>
      </c>
      <c r="F7" s="10">
        <f>'CTRA. GUADALMAR'!G11</f>
        <v>48248.249999999993</v>
      </c>
      <c r="G7" s="10">
        <f>F7/(1.5*1.15)</f>
        <v>27969.999999999996</v>
      </c>
    </row>
    <row r="8" spans="2:7" ht="15" customHeight="1" x14ac:dyDescent="0.25">
      <c r="B8" s="66" t="s">
        <v>103</v>
      </c>
      <c r="C8" s="57"/>
      <c r="D8" s="57"/>
      <c r="E8" s="57"/>
      <c r="F8" s="57"/>
      <c r="G8" s="48"/>
    </row>
    <row r="9" spans="2:7" s="41" customFormat="1" ht="15" customHeight="1" x14ac:dyDescent="0.25">
      <c r="B9" s="61" t="s">
        <v>104</v>
      </c>
      <c r="C9" s="57"/>
      <c r="D9" s="57"/>
      <c r="E9" s="57"/>
      <c r="F9" s="57"/>
      <c r="G9" s="48"/>
    </row>
    <row r="10" spans="2:7" s="41" customFormat="1" ht="15" customHeight="1" x14ac:dyDescent="0.25">
      <c r="B10" s="61" t="s">
        <v>105</v>
      </c>
      <c r="C10" s="57"/>
      <c r="D10" s="57"/>
      <c r="E10" s="57"/>
      <c r="F10" s="48"/>
      <c r="G10" s="43" t="s">
        <v>87</v>
      </c>
    </row>
    <row r="11" spans="2:7" ht="27" customHeight="1" x14ac:dyDescent="0.25">
      <c r="B11" s="42" t="s">
        <v>106</v>
      </c>
      <c r="C11" s="17" t="s">
        <v>107</v>
      </c>
      <c r="D11" s="39" t="s">
        <v>108</v>
      </c>
      <c r="E11" s="39" t="s">
        <v>109</v>
      </c>
      <c r="F11" s="10">
        <f>'CTRA. GUADALMAR'!F25+'CTRA. GUADALMAR'!F64</f>
        <v>1476.38768</v>
      </c>
      <c r="G11" s="10">
        <f>'CTRA. GUADALMAR'!G25+'CTRA. GUADALMAR'!G64</f>
        <v>600.09576538789429</v>
      </c>
    </row>
    <row r="12" spans="2:7" s="41" customFormat="1" ht="15" customHeight="1" x14ac:dyDescent="0.25">
      <c r="B12" s="61" t="s">
        <v>110</v>
      </c>
      <c r="C12" s="57"/>
      <c r="D12" s="57"/>
      <c r="E12" s="57"/>
      <c r="F12" s="48"/>
      <c r="G12" s="43" t="s">
        <v>87</v>
      </c>
    </row>
    <row r="13" spans="2:7" ht="38.25" customHeight="1" x14ac:dyDescent="0.25">
      <c r="B13" s="42" t="s">
        <v>111</v>
      </c>
      <c r="C13" s="17" t="s">
        <v>112</v>
      </c>
      <c r="D13" s="39" t="s">
        <v>108</v>
      </c>
      <c r="E13" s="39" t="s">
        <v>113</v>
      </c>
      <c r="F13" s="10">
        <f>'CTRA. GUADALMAR'!F66+'CTRA. GUADALMAR'!F67+'CTRA. GUADALMAR'!F26</f>
        <v>396.91700000000003</v>
      </c>
      <c r="G13" s="10">
        <f>'CTRA. GUADALMAR'!G26+'CTRA. GUADALMAR'!G66+'CTRA. GUADALMAR'!G67</f>
        <v>661.12454545454557</v>
      </c>
    </row>
    <row r="14" spans="2:7" s="41" customFormat="1" ht="15" customHeight="1" x14ac:dyDescent="0.25">
      <c r="B14" s="61" t="s">
        <v>114</v>
      </c>
      <c r="C14" s="57"/>
      <c r="D14" s="57"/>
      <c r="E14" s="57"/>
      <c r="F14" s="48"/>
      <c r="G14" s="43" t="s">
        <v>87</v>
      </c>
    </row>
    <row r="15" spans="2:7" ht="38.25" customHeight="1" x14ac:dyDescent="0.25">
      <c r="B15" s="42" t="s">
        <v>115</v>
      </c>
      <c r="C15" s="17" t="s">
        <v>116</v>
      </c>
      <c r="D15" s="39" t="s">
        <v>108</v>
      </c>
      <c r="E15" s="39" t="s">
        <v>113</v>
      </c>
      <c r="F15" s="10">
        <f>'CTRA. GUADALMAR'!F27+'CTRA. GUADALMAR'!F69+'CTRA. GUADALMAR'!F70+'CTRA. GUADALMAR'!F71</f>
        <v>250.04791600000001</v>
      </c>
      <c r="G15" s="10">
        <f>'CTRA. GUADALMAR'!G27+'CTRA. GUADALMAR'!G69+'CTRA. GUADALMAR'!G70+'CTRA. GUADALMAR'!G71</f>
        <v>33.339722133333339</v>
      </c>
    </row>
    <row r="16" spans="2:7" s="41" customFormat="1" ht="15" customHeight="1" x14ac:dyDescent="0.25">
      <c r="B16" s="61" t="s">
        <v>117</v>
      </c>
      <c r="C16" s="57"/>
      <c r="D16" s="57"/>
      <c r="E16" s="57"/>
      <c r="F16" s="48"/>
      <c r="G16" s="43" t="s">
        <v>87</v>
      </c>
    </row>
    <row r="17" spans="2:7" ht="38.25" customHeight="1" x14ac:dyDescent="0.25">
      <c r="B17" s="42" t="s">
        <v>118</v>
      </c>
      <c r="C17" s="17" t="s">
        <v>119</v>
      </c>
      <c r="D17" s="39" t="s">
        <v>108</v>
      </c>
      <c r="E17" s="39" t="s">
        <v>113</v>
      </c>
      <c r="F17" s="10">
        <f>'CTRA. GUADALMAR'!F28</f>
        <v>29.7288</v>
      </c>
      <c r="G17" s="10">
        <f>'CTRA. GUADALMAR'!G28+'CTRA. GUADALMAR'!G73</f>
        <v>27.787909090909089</v>
      </c>
    </row>
    <row r="18" spans="2:7" s="41" customFormat="1" ht="15" customHeight="1" x14ac:dyDescent="0.25">
      <c r="B18" s="61" t="s">
        <v>120</v>
      </c>
      <c r="C18" s="57"/>
      <c r="D18" s="57"/>
      <c r="E18" s="57"/>
      <c r="F18" s="48"/>
      <c r="G18" s="43" t="s">
        <v>87</v>
      </c>
    </row>
    <row r="19" spans="2:7" ht="38.25" customHeight="1" x14ac:dyDescent="0.25">
      <c r="B19" s="42" t="s">
        <v>121</v>
      </c>
      <c r="C19" s="17" t="s">
        <v>122</v>
      </c>
      <c r="D19" s="39" t="s">
        <v>108</v>
      </c>
      <c r="E19" s="39" t="s">
        <v>113</v>
      </c>
      <c r="F19" s="10">
        <f>'CTRA. GUADALMAR'!F29+'CTRA. GUADALMAR'!F75+'CTRA. GUADALMAR'!F76+'CTRA. GUADALMAR'!F77</f>
        <v>149.49508169999999</v>
      </c>
      <c r="G19" s="10">
        <f>'CTRA. GUADALMAR'!G29+'CTRA. GUADALMAR'!G75+'CTRA. GUADALMAR'!G76+'CTRA. GUADALMAR'!G77+'CTRA. GUADALMAR'!G78</f>
        <v>106.78220121428573</v>
      </c>
    </row>
    <row r="20" spans="2:7" s="41" customFormat="1" ht="15" customHeight="1" x14ac:dyDescent="0.25">
      <c r="B20" s="61" t="s">
        <v>123</v>
      </c>
      <c r="C20" s="57"/>
      <c r="D20" s="57"/>
      <c r="E20" s="57"/>
      <c r="F20" s="48"/>
      <c r="G20" s="43" t="s">
        <v>87</v>
      </c>
    </row>
    <row r="21" spans="2:7" ht="38.25" customHeight="1" x14ac:dyDescent="0.25">
      <c r="B21" s="42" t="s">
        <v>124</v>
      </c>
      <c r="C21" s="44" t="s">
        <v>125</v>
      </c>
      <c r="D21" s="39" t="s">
        <v>108</v>
      </c>
      <c r="E21" s="39" t="s">
        <v>113</v>
      </c>
      <c r="F21" s="10">
        <f>'CTRA. GUADALMAR'!F30+'CTRA. GUADALMAR'!F78</f>
        <v>49.548000000000002</v>
      </c>
      <c r="G21" s="10">
        <f>'CTRA. GUADALMAR'!G30+'CTRA. GUADALMAR'!G78</f>
        <v>19.819200000000002</v>
      </c>
    </row>
    <row r="22" spans="2:7" s="41" customFormat="1" ht="15" customHeight="1" x14ac:dyDescent="0.25">
      <c r="B22" s="61" t="s">
        <v>126</v>
      </c>
      <c r="C22" s="57"/>
      <c r="D22" s="57"/>
      <c r="E22" s="57"/>
      <c r="F22" s="48"/>
      <c r="G22" s="43" t="s">
        <v>87</v>
      </c>
    </row>
    <row r="23" spans="2:7" ht="38.25" customHeight="1" x14ac:dyDescent="0.25">
      <c r="B23" s="42" t="s">
        <v>127</v>
      </c>
      <c r="C23" s="44" t="s">
        <v>128</v>
      </c>
      <c r="D23" s="39" t="s">
        <v>129</v>
      </c>
      <c r="E23" s="39" t="s">
        <v>113</v>
      </c>
      <c r="F23" s="10">
        <f>'CTRA. GUADALMAR'!F31+'CTRA. GUADALMAR'!F78</f>
        <v>19.819200000000002</v>
      </c>
      <c r="G23" s="10">
        <f>'CTRA. GUADALMAR'!G31+'CTRA. GUADALMAR'!G80</f>
        <v>14.808800000000002</v>
      </c>
    </row>
    <row r="24" spans="2:7" s="41" customFormat="1" ht="15" customHeight="1" x14ac:dyDescent="0.25">
      <c r="B24" s="61" t="s">
        <v>130</v>
      </c>
      <c r="C24" s="57"/>
      <c r="D24" s="57"/>
      <c r="E24" s="57"/>
      <c r="F24" s="48"/>
      <c r="G24" s="43" t="s">
        <v>87</v>
      </c>
    </row>
    <row r="25" spans="2:7" ht="38.25" customHeight="1" x14ac:dyDescent="0.25">
      <c r="B25" s="42" t="s">
        <v>131</v>
      </c>
      <c r="C25" s="17" t="s">
        <v>132</v>
      </c>
      <c r="D25" s="39" t="s">
        <v>108</v>
      </c>
      <c r="E25" s="39" t="s">
        <v>113</v>
      </c>
      <c r="F25" s="10">
        <f>'CTRA. GUADALMAR'!F40+'CTRA. GUADALMAR'!F95</f>
        <v>748.87200000000007</v>
      </c>
      <c r="G25" s="10">
        <f>'CTRA. GUADALMAR'!G40+'CTRA. GUADALMAR'!G95</f>
        <v>1186.7866666666669</v>
      </c>
    </row>
    <row r="26" spans="2:7" ht="40.5" customHeight="1" x14ac:dyDescent="0.25">
      <c r="B26" s="42" t="s">
        <v>133</v>
      </c>
      <c r="C26" s="17" t="s">
        <v>134</v>
      </c>
      <c r="D26" s="39" t="s">
        <v>129</v>
      </c>
      <c r="E26" s="39" t="s">
        <v>135</v>
      </c>
      <c r="F26" s="10"/>
      <c r="G26" s="10"/>
    </row>
    <row r="27" spans="2:7" ht="25.5" customHeight="1" x14ac:dyDescent="0.25">
      <c r="B27" s="42" t="s">
        <v>136</v>
      </c>
      <c r="C27" s="17" t="s">
        <v>137</v>
      </c>
      <c r="D27" s="39" t="s">
        <v>138</v>
      </c>
      <c r="E27" s="39" t="s">
        <v>139</v>
      </c>
      <c r="F27" s="17">
        <v>1.8</v>
      </c>
      <c r="G27" s="17">
        <v>1</v>
      </c>
    </row>
    <row r="28" spans="2:7" ht="25.5" customHeight="1" x14ac:dyDescent="0.25">
      <c r="B28" s="42" t="s">
        <v>140</v>
      </c>
      <c r="C28" s="17" t="s">
        <v>141</v>
      </c>
      <c r="D28" s="39" t="s">
        <v>138</v>
      </c>
      <c r="E28" s="39" t="s">
        <v>139</v>
      </c>
      <c r="F28" s="17">
        <v>0.2</v>
      </c>
      <c r="G28" s="17">
        <v>0.1</v>
      </c>
    </row>
    <row r="29" spans="2:7" s="41" customFormat="1" ht="15" customHeight="1" x14ac:dyDescent="0.25">
      <c r="B29" s="65" t="s">
        <v>142</v>
      </c>
      <c r="C29" s="57"/>
      <c r="D29" s="57"/>
      <c r="E29" s="57"/>
      <c r="F29" s="57"/>
      <c r="G29" s="48"/>
    </row>
    <row r="30" spans="2:7" s="41" customFormat="1" ht="15" customHeight="1" x14ac:dyDescent="0.25">
      <c r="B30" s="61" t="s">
        <v>143</v>
      </c>
      <c r="C30" s="57"/>
      <c r="D30" s="57"/>
      <c r="E30" s="57"/>
      <c r="F30" s="48"/>
      <c r="G30" s="43" t="s">
        <v>87</v>
      </c>
    </row>
    <row r="31" spans="2:7" ht="27" customHeight="1" x14ac:dyDescent="0.25">
      <c r="B31" s="42" t="s">
        <v>144</v>
      </c>
      <c r="C31" s="17" t="s">
        <v>145</v>
      </c>
      <c r="D31" s="39" t="s">
        <v>108</v>
      </c>
      <c r="E31" s="39" t="s">
        <v>109</v>
      </c>
      <c r="F31" s="10">
        <f>'CTRA. GUADALMAR'!F34+'CTRA. GUADALMAR'!F84</f>
        <v>1389.894</v>
      </c>
      <c r="G31" s="10">
        <f>'CTRA. GUADALMAR'!G34+'CTRA. GUADALMAR'!G84</f>
        <v>926.596</v>
      </c>
    </row>
    <row r="32" spans="2:7" ht="25.5" customHeight="1" x14ac:dyDescent="0.25">
      <c r="B32" s="42" t="s">
        <v>146</v>
      </c>
      <c r="C32" s="17" t="s">
        <v>147</v>
      </c>
      <c r="D32" s="39" t="s">
        <v>108</v>
      </c>
      <c r="E32" s="39" t="s">
        <v>109</v>
      </c>
      <c r="F32" s="17" t="s">
        <v>148</v>
      </c>
      <c r="G32" s="17" t="s">
        <v>148</v>
      </c>
    </row>
    <row r="33" spans="2:7" s="41" customFormat="1" ht="15" customHeight="1" x14ac:dyDescent="0.25">
      <c r="B33" s="61" t="s">
        <v>149</v>
      </c>
      <c r="C33" s="57"/>
      <c r="D33" s="57"/>
      <c r="E33" s="57"/>
      <c r="F33" s="48"/>
      <c r="G33" s="43" t="s">
        <v>87</v>
      </c>
    </row>
    <row r="34" spans="2:7" ht="25.5" customHeight="1" x14ac:dyDescent="0.25">
      <c r="B34" s="42" t="s">
        <v>150</v>
      </c>
      <c r="C34" s="17" t="s">
        <v>151</v>
      </c>
      <c r="D34" s="39" t="s">
        <v>138</v>
      </c>
      <c r="E34" s="39" t="s">
        <v>109</v>
      </c>
      <c r="F34" s="10">
        <f>'CTRA. GUADALMAR'!F35+'CTRA. GUADALMAR'!F86+'CTRA. GUADALMAR'!F87+'CTRA. GUADALMAR'!F88</f>
        <v>1426.1157000000001</v>
      </c>
      <c r="G34" s="10">
        <f>'CTRA. GUADALMAR'!G35+'CTRA. GUADALMAR'!G86+'CTRA. GUADALMAR'!G87+'CTRA. GUADALMAR'!G88+'CTRA. GUADALMAR'!G89</f>
        <v>603.79820833333338</v>
      </c>
    </row>
    <row r="35" spans="2:7" s="41" customFormat="1" ht="15" customHeight="1" x14ac:dyDescent="0.25">
      <c r="B35" s="61" t="s">
        <v>152</v>
      </c>
      <c r="C35" s="57"/>
      <c r="D35" s="57"/>
      <c r="E35" s="57"/>
      <c r="F35" s="48"/>
      <c r="G35" s="43" t="s">
        <v>87</v>
      </c>
    </row>
    <row r="36" spans="2:7" ht="40.5" customHeight="1" x14ac:dyDescent="0.25">
      <c r="B36" s="42" t="s">
        <v>153</v>
      </c>
      <c r="C36" s="17" t="s">
        <v>154</v>
      </c>
      <c r="D36" s="39" t="s">
        <v>138</v>
      </c>
      <c r="E36" s="39" t="s">
        <v>109</v>
      </c>
      <c r="F36" s="10">
        <f>'CTRA. GUADALMAR'!F36+'CTRA. GUADALMAR'!F91</f>
        <v>1546.6770000000001</v>
      </c>
      <c r="G36" s="10">
        <f>'CTRA. GUADALMAR'!G36+'CTRA. GUADALMAR'!G91</f>
        <v>1145.6866666666665</v>
      </c>
    </row>
    <row r="37" spans="2:7" s="41" customFormat="1" ht="15" customHeight="1" x14ac:dyDescent="0.25">
      <c r="B37" s="61" t="s">
        <v>155</v>
      </c>
      <c r="C37" s="57"/>
      <c r="D37" s="57"/>
      <c r="E37" s="57"/>
      <c r="F37" s="48"/>
      <c r="G37" s="43" t="s">
        <v>87</v>
      </c>
    </row>
    <row r="38" spans="2:7" ht="27" customHeight="1" x14ac:dyDescent="0.25">
      <c r="B38" s="42" t="s">
        <v>156</v>
      </c>
      <c r="C38" s="44" t="s">
        <v>157</v>
      </c>
      <c r="D38" s="39" t="s">
        <v>138</v>
      </c>
      <c r="E38" s="39" t="s">
        <v>109</v>
      </c>
      <c r="F38" s="10">
        <f>'CTRA. GUADALMAR'!F37+'CTRA. GUADALMAR'!F92</f>
        <v>495.48</v>
      </c>
      <c r="G38" s="10">
        <f>'CTRA. GUADALMAR'!G37+'CTRA. GUADALMAR'!G92</f>
        <v>198.19200000000001</v>
      </c>
    </row>
    <row r="39" spans="2:7" ht="15" customHeight="1" x14ac:dyDescent="0.25">
      <c r="B39" s="45"/>
      <c r="C39" s="19"/>
      <c r="D39" s="46"/>
      <c r="E39" s="46"/>
      <c r="F39" s="19"/>
      <c r="G39" s="19"/>
    </row>
    <row r="40" spans="2:7" ht="15" customHeight="1" x14ac:dyDescent="0.25">
      <c r="B40" s="45"/>
      <c r="C40" s="19"/>
      <c r="D40" s="46"/>
      <c r="E40" s="46"/>
      <c r="F40" s="19"/>
      <c r="G40" s="19"/>
    </row>
    <row r="41" spans="2:7" ht="15" customHeight="1" x14ac:dyDescent="0.25">
      <c r="B41" s="45"/>
      <c r="C41" s="19"/>
      <c r="D41" s="46"/>
      <c r="E41" s="46"/>
      <c r="F41" s="19"/>
      <c r="G41" s="19"/>
    </row>
    <row r="42" spans="2:7" ht="15" customHeight="1" x14ac:dyDescent="0.25">
      <c r="B42" s="45"/>
      <c r="C42" s="19"/>
      <c r="D42" s="46"/>
      <c r="E42" s="46"/>
      <c r="F42" s="19"/>
      <c r="G42" s="19"/>
    </row>
    <row r="43" spans="2:7" ht="15" customHeight="1" x14ac:dyDescent="0.25">
      <c r="B43" s="45"/>
      <c r="C43" s="19"/>
      <c r="D43" s="46"/>
      <c r="E43" s="46"/>
      <c r="F43" s="19"/>
      <c r="G43" s="19"/>
    </row>
    <row r="44" spans="2:7" ht="15" customHeight="1" x14ac:dyDescent="0.25">
      <c r="B44" s="45"/>
      <c r="C44" s="19"/>
      <c r="D44" s="46"/>
      <c r="E44" s="46"/>
      <c r="F44" s="19"/>
      <c r="G44" s="19"/>
    </row>
    <row r="45" spans="2:7" ht="15" customHeight="1" x14ac:dyDescent="0.25">
      <c r="B45" s="45"/>
      <c r="C45" s="19"/>
      <c r="D45" s="46"/>
      <c r="E45" s="46"/>
      <c r="F45" s="19"/>
      <c r="G45" s="19"/>
    </row>
    <row r="46" spans="2:7" ht="15" customHeight="1" x14ac:dyDescent="0.25">
      <c r="B46" s="45"/>
      <c r="C46" s="19"/>
      <c r="D46" s="46"/>
      <c r="E46" s="46"/>
      <c r="F46" s="19"/>
      <c r="G46" s="19"/>
    </row>
    <row r="47" spans="2:7" ht="15" customHeight="1" x14ac:dyDescent="0.25">
      <c r="B47" s="45"/>
      <c r="C47" s="19"/>
      <c r="D47" s="46"/>
      <c r="E47" s="46"/>
      <c r="F47" s="19"/>
      <c r="G47" s="19"/>
    </row>
    <row r="48" spans="2:7" ht="15" customHeight="1" x14ac:dyDescent="0.25">
      <c r="B48" s="45"/>
      <c r="C48" s="19"/>
      <c r="D48" s="46"/>
      <c r="E48" s="46"/>
      <c r="F48" s="19"/>
      <c r="G48" s="19"/>
    </row>
    <row r="49" spans="2:7" ht="15" customHeight="1" x14ac:dyDescent="0.25">
      <c r="B49" s="45"/>
      <c r="C49" s="19"/>
      <c r="D49" s="46"/>
      <c r="E49" s="46"/>
      <c r="F49" s="19"/>
      <c r="G49" s="19"/>
    </row>
    <row r="50" spans="2:7" ht="15" customHeight="1" x14ac:dyDescent="0.25">
      <c r="B50" s="45"/>
      <c r="C50" s="19"/>
      <c r="D50" s="46"/>
      <c r="E50" s="46"/>
      <c r="F50" s="19"/>
      <c r="G50" s="19"/>
    </row>
    <row r="51" spans="2:7" ht="15" customHeight="1" x14ac:dyDescent="0.25">
      <c r="B51" s="45"/>
      <c r="C51" s="19"/>
      <c r="D51" s="46"/>
      <c r="E51" s="46"/>
      <c r="F51" s="19"/>
      <c r="G51" s="19"/>
    </row>
    <row r="52" spans="2:7" ht="15" customHeight="1" x14ac:dyDescent="0.25">
      <c r="B52" s="45"/>
      <c r="C52" s="19"/>
      <c r="D52" s="46"/>
      <c r="E52" s="46"/>
      <c r="F52" s="19"/>
      <c r="G52" s="19"/>
    </row>
    <row r="53" spans="2:7" ht="15" customHeight="1" x14ac:dyDescent="0.25">
      <c r="B53" s="45"/>
      <c r="C53" s="19"/>
      <c r="D53" s="46"/>
      <c r="E53" s="46"/>
      <c r="F53" s="19"/>
      <c r="G53" s="19"/>
    </row>
    <row r="54" spans="2:7" ht="15" customHeight="1" x14ac:dyDescent="0.25">
      <c r="B54" s="45"/>
      <c r="C54" s="19"/>
      <c r="D54" s="46"/>
      <c r="E54" s="46"/>
      <c r="F54" s="19"/>
      <c r="G54" s="19"/>
    </row>
    <row r="55" spans="2:7" ht="15" customHeight="1" x14ac:dyDescent="0.25">
      <c r="B55" s="45"/>
      <c r="C55" s="19"/>
      <c r="D55" s="46"/>
      <c r="E55" s="46"/>
      <c r="F55" s="19"/>
      <c r="G55" s="19"/>
    </row>
    <row r="56" spans="2:7" ht="15" customHeight="1" x14ac:dyDescent="0.25">
      <c r="B56" s="45"/>
      <c r="C56" s="19"/>
      <c r="D56" s="46"/>
      <c r="E56" s="46"/>
      <c r="F56" s="19"/>
      <c r="G56" s="19"/>
    </row>
    <row r="57" spans="2:7" ht="15" customHeight="1" x14ac:dyDescent="0.25">
      <c r="B57" s="45"/>
      <c r="C57" s="19"/>
      <c r="D57" s="46"/>
      <c r="E57" s="46"/>
      <c r="F57" s="19"/>
      <c r="G57" s="19"/>
    </row>
    <row r="58" spans="2:7" ht="15" customHeight="1" x14ac:dyDescent="0.25">
      <c r="B58" s="45"/>
      <c r="C58" s="19"/>
      <c r="D58" s="46"/>
      <c r="E58" s="46"/>
      <c r="F58" s="19"/>
      <c r="G58" s="19"/>
    </row>
    <row r="59" spans="2:7" ht="15" customHeight="1" x14ac:dyDescent="0.25">
      <c r="B59" s="45"/>
      <c r="C59" s="19"/>
      <c r="D59" s="46"/>
      <c r="E59" s="46"/>
      <c r="F59" s="19"/>
      <c r="G59" s="19"/>
    </row>
    <row r="60" spans="2:7" ht="15" customHeight="1" x14ac:dyDescent="0.25">
      <c r="B60" s="45"/>
      <c r="C60" s="19"/>
      <c r="D60" s="46"/>
      <c r="E60" s="46"/>
      <c r="F60" s="19"/>
      <c r="G60" s="19"/>
    </row>
    <row r="61" spans="2:7" ht="15" customHeight="1" x14ac:dyDescent="0.25">
      <c r="B61" s="45"/>
      <c r="C61" s="19"/>
      <c r="D61" s="46"/>
      <c r="E61" s="46"/>
      <c r="F61" s="19"/>
      <c r="G61" s="19"/>
    </row>
    <row r="62" spans="2:7" ht="15" customHeight="1" x14ac:dyDescent="0.25">
      <c r="B62" s="45"/>
      <c r="C62" s="19"/>
      <c r="D62" s="46"/>
      <c r="E62" s="46"/>
      <c r="F62" s="19"/>
      <c r="G62" s="19"/>
    </row>
    <row r="63" spans="2:7" ht="15" customHeight="1" x14ac:dyDescent="0.25">
      <c r="B63" s="45"/>
      <c r="C63" s="19"/>
      <c r="D63" s="46"/>
      <c r="E63" s="46"/>
      <c r="F63" s="19"/>
      <c r="G63" s="19"/>
    </row>
    <row r="64" spans="2:7" ht="15" customHeight="1" x14ac:dyDescent="0.25">
      <c r="B64" s="45"/>
      <c r="C64" s="19"/>
      <c r="D64" s="46"/>
      <c r="E64" s="46"/>
      <c r="F64" s="19"/>
      <c r="G64" s="19"/>
    </row>
    <row r="65" spans="2:7" ht="15" customHeight="1" x14ac:dyDescent="0.25">
      <c r="B65" s="45"/>
      <c r="C65" s="19"/>
      <c r="D65" s="46"/>
      <c r="E65" s="46"/>
      <c r="F65" s="19"/>
      <c r="G65" s="19"/>
    </row>
    <row r="66" spans="2:7" ht="15" customHeight="1" x14ac:dyDescent="0.25">
      <c r="B66" s="45"/>
      <c r="C66" s="19"/>
      <c r="D66" s="46"/>
      <c r="E66" s="46"/>
      <c r="F66" s="19"/>
      <c r="G66" s="19"/>
    </row>
    <row r="67" spans="2:7" ht="15" customHeight="1" x14ac:dyDescent="0.25">
      <c r="B67" s="45"/>
      <c r="C67" s="19"/>
      <c r="D67" s="46"/>
      <c r="E67" s="46"/>
      <c r="F67" s="19"/>
      <c r="G67" s="19"/>
    </row>
    <row r="68" spans="2:7" ht="15" customHeight="1" x14ac:dyDescent="0.25">
      <c r="B68" s="45"/>
      <c r="C68" s="19"/>
      <c r="D68" s="46"/>
      <c r="E68" s="46"/>
      <c r="F68" s="19"/>
      <c r="G68" s="19"/>
    </row>
    <row r="69" spans="2:7" ht="15" customHeight="1" x14ac:dyDescent="0.25">
      <c r="B69" s="45"/>
      <c r="C69" s="19"/>
      <c r="D69" s="46"/>
      <c r="E69" s="46"/>
      <c r="F69" s="19"/>
      <c r="G69" s="19"/>
    </row>
    <row r="70" spans="2:7" ht="15" customHeight="1" x14ac:dyDescent="0.25">
      <c r="B70" s="45"/>
      <c r="C70" s="19"/>
      <c r="D70" s="46"/>
      <c r="E70" s="46"/>
      <c r="F70" s="19"/>
      <c r="G70" s="19"/>
    </row>
    <row r="71" spans="2:7" ht="15" customHeight="1" x14ac:dyDescent="0.25">
      <c r="B71" s="45"/>
      <c r="C71" s="19"/>
      <c r="D71" s="46"/>
      <c r="E71" s="46"/>
      <c r="F71" s="19"/>
      <c r="G71" s="19"/>
    </row>
    <row r="72" spans="2:7" ht="15" customHeight="1" x14ac:dyDescent="0.25">
      <c r="B72" s="45"/>
      <c r="C72" s="19"/>
      <c r="D72" s="46"/>
      <c r="E72" s="46"/>
      <c r="F72" s="19"/>
      <c r="G72" s="19"/>
    </row>
    <row r="73" spans="2:7" ht="15" customHeight="1" x14ac:dyDescent="0.25">
      <c r="B73" s="45"/>
      <c r="C73" s="19"/>
      <c r="D73" s="46"/>
      <c r="E73" s="46"/>
      <c r="F73" s="19"/>
      <c r="G73" s="19"/>
    </row>
    <row r="74" spans="2:7" ht="15" customHeight="1" x14ac:dyDescent="0.25">
      <c r="B74" s="45"/>
      <c r="C74" s="19"/>
      <c r="D74" s="46"/>
      <c r="E74" s="46"/>
      <c r="F74" s="19"/>
      <c r="G74" s="19"/>
    </row>
    <row r="75" spans="2:7" ht="15" customHeight="1" x14ac:dyDescent="0.25">
      <c r="B75" s="45"/>
      <c r="C75" s="19"/>
      <c r="D75" s="46"/>
      <c r="E75" s="46"/>
      <c r="F75" s="19"/>
      <c r="G75" s="19"/>
    </row>
    <row r="76" spans="2:7" ht="15" customHeight="1" x14ac:dyDescent="0.25">
      <c r="B76" s="45"/>
      <c r="C76" s="19"/>
      <c r="D76" s="46"/>
      <c r="E76" s="46"/>
      <c r="F76" s="19"/>
      <c r="G76" s="19"/>
    </row>
    <row r="77" spans="2:7" ht="15" customHeight="1" x14ac:dyDescent="0.25">
      <c r="B77" s="45"/>
      <c r="C77" s="19"/>
      <c r="D77" s="46"/>
      <c r="E77" s="46"/>
      <c r="F77" s="19"/>
      <c r="G77" s="19"/>
    </row>
    <row r="78" spans="2:7" ht="15" customHeight="1" x14ac:dyDescent="0.25">
      <c r="B78" s="45"/>
      <c r="C78" s="19"/>
      <c r="D78" s="46"/>
      <c r="E78" s="46"/>
      <c r="F78" s="19"/>
      <c r="G78" s="19"/>
    </row>
    <row r="79" spans="2:7" ht="15" customHeight="1" x14ac:dyDescent="0.25">
      <c r="B79" s="45"/>
      <c r="C79" s="19"/>
      <c r="D79" s="46"/>
      <c r="E79" s="46"/>
      <c r="F79" s="19"/>
      <c r="G79" s="19"/>
    </row>
    <row r="80" spans="2:7" ht="15" customHeight="1" x14ac:dyDescent="0.25">
      <c r="B80" s="45"/>
      <c r="C80" s="19"/>
      <c r="D80" s="46"/>
      <c r="E80" s="46"/>
      <c r="F80" s="19"/>
      <c r="G80" s="19"/>
    </row>
    <row r="81" spans="2:7" ht="15" customHeight="1" x14ac:dyDescent="0.25">
      <c r="B81" s="45"/>
      <c r="C81" s="19"/>
      <c r="D81" s="46"/>
      <c r="E81" s="46"/>
      <c r="F81" s="19"/>
      <c r="G81" s="19"/>
    </row>
    <row r="82" spans="2:7" ht="15" customHeight="1" x14ac:dyDescent="0.25">
      <c r="B82" s="45"/>
      <c r="C82" s="19"/>
      <c r="D82" s="46"/>
      <c r="E82" s="46"/>
      <c r="F82" s="19"/>
      <c r="G82" s="19"/>
    </row>
    <row r="83" spans="2:7" ht="15" customHeight="1" x14ac:dyDescent="0.25">
      <c r="B83" s="45"/>
      <c r="C83" s="19"/>
      <c r="D83" s="46"/>
      <c r="E83" s="46"/>
      <c r="F83" s="19"/>
      <c r="G83" s="19"/>
    </row>
    <row r="84" spans="2:7" ht="15" customHeight="1" x14ac:dyDescent="0.25">
      <c r="B84" s="45"/>
      <c r="C84" s="19"/>
      <c r="D84" s="46"/>
      <c r="E84" s="46"/>
      <c r="F84" s="19"/>
      <c r="G84" s="19"/>
    </row>
    <row r="85" spans="2:7" ht="15" customHeight="1" x14ac:dyDescent="0.25">
      <c r="B85" s="45"/>
      <c r="C85" s="19"/>
      <c r="D85" s="46"/>
      <c r="E85" s="46"/>
      <c r="F85" s="19"/>
      <c r="G85" s="19"/>
    </row>
    <row r="86" spans="2:7" ht="15" customHeight="1" x14ac:dyDescent="0.25">
      <c r="B86" s="45"/>
      <c r="C86" s="19"/>
      <c r="D86" s="46"/>
      <c r="E86" s="46"/>
      <c r="F86" s="19"/>
      <c r="G86" s="19"/>
    </row>
    <row r="87" spans="2:7" ht="15" customHeight="1" x14ac:dyDescent="0.25">
      <c r="B87" s="45"/>
      <c r="C87" s="19"/>
      <c r="D87" s="46"/>
      <c r="E87" s="46"/>
      <c r="F87" s="19"/>
      <c r="G87" s="19"/>
    </row>
    <row r="88" spans="2:7" ht="15" customHeight="1" x14ac:dyDescent="0.25">
      <c r="B88" s="45"/>
      <c r="C88" s="19"/>
      <c r="D88" s="46"/>
      <c r="E88" s="46"/>
      <c r="F88" s="19"/>
      <c r="G88" s="19"/>
    </row>
    <row r="89" spans="2:7" ht="15" customHeight="1" x14ac:dyDescent="0.25">
      <c r="B89" s="45"/>
      <c r="C89" s="19"/>
      <c r="D89" s="46"/>
      <c r="E89" s="46"/>
      <c r="F89" s="19"/>
      <c r="G89" s="19"/>
    </row>
    <row r="90" spans="2:7" ht="15" customHeight="1" x14ac:dyDescent="0.25">
      <c r="B90" s="45"/>
      <c r="C90" s="19"/>
      <c r="D90" s="46"/>
      <c r="E90" s="46"/>
      <c r="F90" s="19"/>
      <c r="G90" s="19"/>
    </row>
    <row r="91" spans="2:7" ht="15" customHeight="1" x14ac:dyDescent="0.25">
      <c r="B91" s="45"/>
      <c r="C91" s="19"/>
      <c r="D91" s="46"/>
      <c r="E91" s="46"/>
      <c r="F91" s="19"/>
      <c r="G91" s="19"/>
    </row>
    <row r="92" spans="2:7" ht="15" customHeight="1" x14ac:dyDescent="0.25">
      <c r="B92" s="45"/>
      <c r="C92" s="19"/>
      <c r="D92" s="46"/>
      <c r="E92" s="46"/>
      <c r="F92" s="19"/>
      <c r="G92" s="19"/>
    </row>
    <row r="93" spans="2:7" ht="15" customHeight="1" x14ac:dyDescent="0.25">
      <c r="B93" s="45"/>
      <c r="C93" s="19"/>
      <c r="D93" s="46"/>
      <c r="E93" s="46"/>
      <c r="F93" s="19"/>
      <c r="G93" s="19"/>
    </row>
    <row r="94" spans="2:7" ht="15" customHeight="1" x14ac:dyDescent="0.25">
      <c r="B94" s="45"/>
      <c r="C94" s="19"/>
      <c r="D94" s="46"/>
      <c r="E94" s="46"/>
      <c r="F94" s="19"/>
      <c r="G94" s="19"/>
    </row>
    <row r="95" spans="2:7" ht="15" customHeight="1" x14ac:dyDescent="0.25">
      <c r="B95" s="45"/>
      <c r="C95" s="19"/>
      <c r="D95" s="46"/>
      <c r="E95" s="46"/>
      <c r="F95" s="19"/>
      <c r="G95" s="19"/>
    </row>
    <row r="96" spans="2:7" ht="15" customHeight="1" x14ac:dyDescent="0.25">
      <c r="B96" s="45"/>
      <c r="C96" s="19"/>
      <c r="D96" s="46"/>
      <c r="E96" s="46"/>
      <c r="F96" s="19"/>
      <c r="G96" s="19"/>
    </row>
    <row r="97" spans="2:7" ht="15" customHeight="1" x14ac:dyDescent="0.25">
      <c r="B97" s="45"/>
      <c r="C97" s="19"/>
      <c r="D97" s="46"/>
      <c r="E97" s="46"/>
      <c r="F97" s="19"/>
      <c r="G97" s="19"/>
    </row>
    <row r="98" spans="2:7" ht="15" customHeight="1" x14ac:dyDescent="0.25">
      <c r="B98" s="45"/>
      <c r="C98" s="19"/>
      <c r="D98" s="46"/>
      <c r="E98" s="46"/>
      <c r="F98" s="19"/>
      <c r="G98" s="19"/>
    </row>
    <row r="99" spans="2:7" ht="15" customHeight="1" x14ac:dyDescent="0.25">
      <c r="B99" s="45"/>
      <c r="C99" s="19"/>
      <c r="D99" s="46"/>
      <c r="E99" s="46"/>
      <c r="F99" s="19"/>
      <c r="G99" s="19"/>
    </row>
    <row r="100" spans="2:7" ht="15" customHeight="1" x14ac:dyDescent="0.25">
      <c r="B100" s="45"/>
      <c r="C100" s="19"/>
      <c r="D100" s="46"/>
      <c r="E100" s="46"/>
      <c r="F100" s="19"/>
      <c r="G100" s="19"/>
    </row>
    <row r="101" spans="2:7" ht="15" customHeight="1" x14ac:dyDescent="0.25">
      <c r="B101" s="45"/>
      <c r="C101" s="19"/>
      <c r="D101" s="46"/>
      <c r="E101" s="46"/>
      <c r="F101" s="19"/>
      <c r="G101" s="19"/>
    </row>
    <row r="102" spans="2:7" ht="15" customHeight="1" x14ac:dyDescent="0.25">
      <c r="B102" s="45"/>
      <c r="C102" s="19"/>
      <c r="D102" s="46"/>
      <c r="E102" s="46"/>
      <c r="F102" s="19"/>
      <c r="G102" s="19"/>
    </row>
    <row r="103" spans="2:7" ht="15" customHeight="1" x14ac:dyDescent="0.25">
      <c r="B103" s="45"/>
      <c r="C103" s="19"/>
      <c r="D103" s="46"/>
      <c r="E103" s="46"/>
      <c r="F103" s="19"/>
      <c r="G103" s="19"/>
    </row>
    <row r="104" spans="2:7" ht="15" customHeight="1" x14ac:dyDescent="0.25">
      <c r="B104" s="45"/>
      <c r="C104" s="19"/>
      <c r="D104" s="46"/>
      <c r="E104" s="46"/>
      <c r="F104" s="19"/>
      <c r="G104" s="19"/>
    </row>
    <row r="105" spans="2:7" ht="15" customHeight="1" x14ac:dyDescent="0.25">
      <c r="B105" s="45"/>
      <c r="C105" s="19"/>
      <c r="D105" s="46"/>
      <c r="E105" s="46"/>
      <c r="F105" s="19"/>
      <c r="G105" s="19"/>
    </row>
    <row r="106" spans="2:7" ht="15" customHeight="1" x14ac:dyDescent="0.25">
      <c r="B106" s="45"/>
      <c r="C106" s="19"/>
      <c r="D106" s="46"/>
      <c r="E106" s="46"/>
      <c r="F106" s="19"/>
      <c r="G106" s="19"/>
    </row>
    <row r="107" spans="2:7" ht="15" customHeight="1" x14ac:dyDescent="0.25">
      <c r="B107" s="45"/>
      <c r="C107" s="19"/>
      <c r="D107" s="46"/>
      <c r="E107" s="46"/>
      <c r="F107" s="19"/>
      <c r="G107" s="19"/>
    </row>
    <row r="108" spans="2:7" ht="15" customHeight="1" x14ac:dyDescent="0.25">
      <c r="B108" s="45"/>
      <c r="C108" s="19"/>
      <c r="D108" s="46"/>
      <c r="E108" s="46"/>
      <c r="F108" s="19"/>
      <c r="G108" s="19"/>
    </row>
    <row r="109" spans="2:7" ht="15" customHeight="1" x14ac:dyDescent="0.25">
      <c r="B109" s="45"/>
      <c r="C109" s="19"/>
      <c r="D109" s="46"/>
      <c r="E109" s="46"/>
      <c r="F109" s="19"/>
      <c r="G109" s="19"/>
    </row>
    <row r="110" spans="2:7" ht="15" customHeight="1" x14ac:dyDescent="0.25">
      <c r="B110" s="45"/>
      <c r="C110" s="19"/>
      <c r="D110" s="46"/>
      <c r="E110" s="46"/>
      <c r="F110" s="19"/>
      <c r="G110" s="19"/>
    </row>
    <row r="111" spans="2:7" ht="15" customHeight="1" x14ac:dyDescent="0.25">
      <c r="B111" s="45"/>
      <c r="C111" s="19"/>
      <c r="D111" s="46"/>
      <c r="E111" s="46"/>
      <c r="F111" s="19"/>
      <c r="G111" s="19"/>
    </row>
    <row r="112" spans="2:7" ht="15" customHeight="1" x14ac:dyDescent="0.25">
      <c r="B112" s="45"/>
      <c r="C112" s="19"/>
      <c r="D112" s="46"/>
      <c r="E112" s="46"/>
      <c r="F112" s="19"/>
      <c r="G112" s="19"/>
    </row>
    <row r="113" spans="2:7" ht="15" customHeight="1" x14ac:dyDescent="0.25">
      <c r="B113" s="45"/>
      <c r="C113" s="19"/>
      <c r="D113" s="46"/>
      <c r="E113" s="46"/>
      <c r="F113" s="19"/>
      <c r="G113" s="19"/>
    </row>
    <row r="114" spans="2:7" ht="15" customHeight="1" x14ac:dyDescent="0.25">
      <c r="B114" s="45"/>
      <c r="C114" s="19"/>
      <c r="D114" s="46"/>
      <c r="E114" s="46"/>
      <c r="F114" s="19"/>
      <c r="G114" s="19"/>
    </row>
    <row r="115" spans="2:7" ht="15" customHeight="1" x14ac:dyDescent="0.25">
      <c r="B115" s="45"/>
      <c r="C115" s="19"/>
      <c r="D115" s="46"/>
      <c r="E115" s="46"/>
      <c r="F115" s="19"/>
      <c r="G115" s="19"/>
    </row>
    <row r="116" spans="2:7" ht="15" customHeight="1" x14ac:dyDescent="0.25">
      <c r="B116" s="45"/>
      <c r="C116" s="19"/>
      <c r="D116" s="46"/>
      <c r="E116" s="46"/>
      <c r="F116" s="19"/>
      <c r="G116" s="19"/>
    </row>
    <row r="117" spans="2:7" ht="15" customHeight="1" x14ac:dyDescent="0.25">
      <c r="B117" s="45"/>
      <c r="C117" s="19"/>
      <c r="D117" s="46"/>
      <c r="E117" s="46"/>
      <c r="F117" s="19"/>
      <c r="G117" s="19"/>
    </row>
    <row r="118" spans="2:7" ht="15" customHeight="1" x14ac:dyDescent="0.25">
      <c r="B118" s="45"/>
      <c r="C118" s="19"/>
      <c r="D118" s="46"/>
      <c r="E118" s="46"/>
      <c r="F118" s="19"/>
      <c r="G118" s="19"/>
    </row>
    <row r="119" spans="2:7" ht="15" customHeight="1" x14ac:dyDescent="0.25">
      <c r="B119" s="45"/>
      <c r="C119" s="19"/>
      <c r="D119" s="46"/>
      <c r="E119" s="46"/>
      <c r="F119" s="19"/>
      <c r="G119" s="19"/>
    </row>
    <row r="120" spans="2:7" ht="15" customHeight="1" x14ac:dyDescent="0.25">
      <c r="B120" s="45"/>
      <c r="C120" s="19"/>
      <c r="D120" s="46"/>
      <c r="E120" s="46"/>
      <c r="F120" s="19"/>
      <c r="G120" s="19"/>
    </row>
    <row r="121" spans="2:7" ht="15" customHeight="1" x14ac:dyDescent="0.25">
      <c r="B121" s="45"/>
      <c r="C121" s="19"/>
      <c r="D121" s="46"/>
      <c r="E121" s="46"/>
      <c r="F121" s="19"/>
      <c r="G121" s="19"/>
    </row>
    <row r="122" spans="2:7" ht="15" customHeight="1" x14ac:dyDescent="0.25">
      <c r="B122" s="45"/>
      <c r="C122" s="19"/>
      <c r="D122" s="46"/>
      <c r="E122" s="46"/>
      <c r="F122" s="19"/>
      <c r="G122" s="19"/>
    </row>
    <row r="123" spans="2:7" ht="15" customHeight="1" x14ac:dyDescent="0.25">
      <c r="B123" s="45"/>
      <c r="C123" s="19"/>
      <c r="D123" s="46"/>
      <c r="E123" s="46"/>
      <c r="F123" s="19"/>
      <c r="G123" s="19"/>
    </row>
    <row r="124" spans="2:7" ht="15" customHeight="1" x14ac:dyDescent="0.25">
      <c r="B124" s="45"/>
      <c r="C124" s="19"/>
      <c r="D124" s="46"/>
      <c r="E124" s="46"/>
      <c r="F124" s="19"/>
      <c r="G124" s="19"/>
    </row>
    <row r="125" spans="2:7" ht="15" customHeight="1" x14ac:dyDescent="0.25">
      <c r="B125" s="45"/>
      <c r="C125" s="19"/>
      <c r="D125" s="46"/>
      <c r="E125" s="46"/>
      <c r="F125" s="19"/>
      <c r="G125" s="19"/>
    </row>
    <row r="126" spans="2:7" ht="15" customHeight="1" x14ac:dyDescent="0.25">
      <c r="B126" s="45"/>
      <c r="C126" s="19"/>
      <c r="D126" s="46"/>
      <c r="E126" s="46"/>
      <c r="F126" s="19"/>
      <c r="G126" s="19"/>
    </row>
    <row r="127" spans="2:7" ht="15" customHeight="1" x14ac:dyDescent="0.25">
      <c r="B127" s="45"/>
      <c r="C127" s="19"/>
      <c r="D127" s="46"/>
      <c r="E127" s="46"/>
      <c r="F127" s="19"/>
      <c r="G127" s="19"/>
    </row>
    <row r="128" spans="2:7" ht="15" customHeight="1" x14ac:dyDescent="0.25">
      <c r="B128" s="45"/>
      <c r="C128" s="19"/>
      <c r="D128" s="46"/>
      <c r="E128" s="46"/>
      <c r="F128" s="19"/>
      <c r="G128" s="19"/>
    </row>
    <row r="129" spans="2:7" ht="15" customHeight="1" x14ac:dyDescent="0.25">
      <c r="B129" s="45"/>
      <c r="C129" s="19"/>
      <c r="D129" s="46"/>
      <c r="E129" s="46"/>
      <c r="F129" s="19"/>
      <c r="G129" s="19"/>
    </row>
    <row r="130" spans="2:7" ht="15" customHeight="1" x14ac:dyDescent="0.25">
      <c r="B130" s="45"/>
      <c r="C130" s="19"/>
      <c r="D130" s="46"/>
      <c r="E130" s="46"/>
      <c r="F130" s="19"/>
      <c r="G130" s="19"/>
    </row>
    <row r="131" spans="2:7" ht="15" customHeight="1" x14ac:dyDescent="0.25">
      <c r="B131" s="45"/>
      <c r="C131" s="19"/>
      <c r="D131" s="46"/>
      <c r="E131" s="46"/>
      <c r="F131" s="19"/>
      <c r="G131" s="19"/>
    </row>
    <row r="132" spans="2:7" ht="15" customHeight="1" x14ac:dyDescent="0.25">
      <c r="B132" s="45"/>
      <c r="C132" s="19"/>
      <c r="D132" s="46"/>
      <c r="E132" s="46"/>
      <c r="F132" s="19"/>
      <c r="G132" s="19"/>
    </row>
    <row r="133" spans="2:7" ht="15" customHeight="1" x14ac:dyDescent="0.25">
      <c r="B133" s="45"/>
      <c r="C133" s="19"/>
      <c r="D133" s="46"/>
      <c r="E133" s="46"/>
      <c r="F133" s="19"/>
      <c r="G133" s="19"/>
    </row>
    <row r="134" spans="2:7" ht="15" customHeight="1" x14ac:dyDescent="0.25">
      <c r="B134" s="45"/>
      <c r="C134" s="19"/>
      <c r="D134" s="46"/>
      <c r="E134" s="46"/>
      <c r="F134" s="19"/>
      <c r="G134" s="19"/>
    </row>
    <row r="135" spans="2:7" ht="15" customHeight="1" x14ac:dyDescent="0.25">
      <c r="B135" s="45"/>
      <c r="C135" s="19"/>
      <c r="D135" s="46"/>
      <c r="E135" s="46"/>
      <c r="F135" s="19"/>
      <c r="G135" s="19"/>
    </row>
    <row r="136" spans="2:7" ht="15" customHeight="1" x14ac:dyDescent="0.25">
      <c r="B136" s="45"/>
      <c r="C136" s="19"/>
      <c r="D136" s="46"/>
      <c r="E136" s="46"/>
      <c r="F136" s="19"/>
      <c r="G136" s="19"/>
    </row>
    <row r="137" spans="2:7" ht="15" customHeight="1" x14ac:dyDescent="0.25">
      <c r="B137" s="45"/>
      <c r="C137" s="19"/>
      <c r="D137" s="46"/>
      <c r="E137" s="46"/>
      <c r="F137" s="19"/>
      <c r="G137" s="19"/>
    </row>
    <row r="138" spans="2:7" ht="15" customHeight="1" x14ac:dyDescent="0.25">
      <c r="B138" s="45"/>
      <c r="C138" s="19"/>
      <c r="D138" s="46"/>
      <c r="E138" s="46"/>
      <c r="F138" s="19"/>
      <c r="G138" s="19"/>
    </row>
    <row r="139" spans="2:7" ht="15" customHeight="1" x14ac:dyDescent="0.25">
      <c r="B139" s="45"/>
      <c r="C139" s="19"/>
      <c r="D139" s="46"/>
      <c r="E139" s="46"/>
      <c r="F139" s="19"/>
      <c r="G139" s="19"/>
    </row>
    <row r="140" spans="2:7" ht="15" customHeight="1" x14ac:dyDescent="0.25">
      <c r="B140" s="45"/>
      <c r="C140" s="19"/>
      <c r="D140" s="46"/>
      <c r="E140" s="46"/>
      <c r="F140" s="19"/>
      <c r="G140" s="19"/>
    </row>
    <row r="141" spans="2:7" ht="15" customHeight="1" x14ac:dyDescent="0.25">
      <c r="B141" s="45"/>
      <c r="C141" s="19"/>
      <c r="D141" s="46"/>
      <c r="E141" s="46"/>
      <c r="F141" s="19"/>
      <c r="G141" s="19"/>
    </row>
    <row r="142" spans="2:7" ht="15" customHeight="1" x14ac:dyDescent="0.25">
      <c r="B142" s="45"/>
      <c r="C142" s="19"/>
      <c r="D142" s="46"/>
      <c r="E142" s="46"/>
      <c r="F142" s="19"/>
      <c r="G142" s="19"/>
    </row>
    <row r="143" spans="2:7" ht="15" customHeight="1" x14ac:dyDescent="0.25">
      <c r="B143" s="45"/>
      <c r="C143" s="19"/>
      <c r="D143" s="46"/>
      <c r="E143" s="46"/>
      <c r="F143" s="19"/>
      <c r="G143" s="19"/>
    </row>
    <row r="144" spans="2:7" ht="15" customHeight="1" x14ac:dyDescent="0.25">
      <c r="B144" s="45"/>
      <c r="C144" s="19"/>
      <c r="D144" s="46"/>
      <c r="E144" s="46"/>
      <c r="F144" s="19"/>
      <c r="G144" s="19"/>
    </row>
    <row r="145" spans="2:7" ht="15" customHeight="1" x14ac:dyDescent="0.25">
      <c r="B145" s="45"/>
      <c r="C145" s="19"/>
      <c r="D145" s="46"/>
      <c r="E145" s="46"/>
      <c r="F145" s="19"/>
      <c r="G145" s="19"/>
    </row>
    <row r="146" spans="2:7" ht="15" customHeight="1" x14ac:dyDescent="0.25">
      <c r="B146" s="45"/>
      <c r="C146" s="19"/>
      <c r="D146" s="46"/>
      <c r="E146" s="46"/>
      <c r="F146" s="19"/>
      <c r="G146" s="19"/>
    </row>
    <row r="147" spans="2:7" ht="15" customHeight="1" x14ac:dyDescent="0.25">
      <c r="B147" s="45"/>
      <c r="C147" s="19"/>
      <c r="D147" s="46"/>
      <c r="E147" s="46"/>
      <c r="F147" s="19"/>
      <c r="G147" s="19"/>
    </row>
    <row r="148" spans="2:7" ht="15" customHeight="1" x14ac:dyDescent="0.25">
      <c r="B148" s="45"/>
      <c r="C148" s="19"/>
      <c r="D148" s="46"/>
      <c r="E148" s="46"/>
      <c r="F148" s="19"/>
      <c r="G148" s="19"/>
    </row>
    <row r="149" spans="2:7" ht="15" customHeight="1" x14ac:dyDescent="0.25">
      <c r="B149" s="45"/>
      <c r="C149" s="19"/>
      <c r="D149" s="46"/>
      <c r="E149" s="46"/>
      <c r="F149" s="19"/>
      <c r="G149" s="19"/>
    </row>
    <row r="150" spans="2:7" ht="15" customHeight="1" x14ac:dyDescent="0.25">
      <c r="B150" s="45"/>
      <c r="C150" s="19"/>
      <c r="D150" s="46"/>
      <c r="E150" s="46"/>
      <c r="F150" s="19"/>
      <c r="G150" s="19"/>
    </row>
    <row r="151" spans="2:7" ht="15" customHeight="1" x14ac:dyDescent="0.25">
      <c r="B151" s="45"/>
      <c r="C151" s="19"/>
      <c r="D151" s="46"/>
      <c r="E151" s="46"/>
      <c r="F151" s="19"/>
      <c r="G151" s="19"/>
    </row>
    <row r="152" spans="2:7" ht="15" customHeight="1" x14ac:dyDescent="0.25">
      <c r="B152" s="45"/>
      <c r="C152" s="19"/>
      <c r="D152" s="46"/>
      <c r="E152" s="46"/>
      <c r="F152" s="19"/>
      <c r="G152" s="19"/>
    </row>
    <row r="153" spans="2:7" ht="15" customHeight="1" x14ac:dyDescent="0.25">
      <c r="B153" s="45"/>
      <c r="C153" s="19"/>
      <c r="D153" s="46"/>
      <c r="E153" s="46"/>
      <c r="F153" s="19"/>
      <c r="G153" s="19"/>
    </row>
    <row r="154" spans="2:7" ht="15" customHeight="1" x14ac:dyDescent="0.25">
      <c r="B154" s="45"/>
      <c r="C154" s="19"/>
      <c r="D154" s="46"/>
      <c r="E154" s="46"/>
      <c r="F154" s="19"/>
      <c r="G154" s="19"/>
    </row>
    <row r="155" spans="2:7" ht="15" customHeight="1" x14ac:dyDescent="0.25">
      <c r="B155" s="45"/>
      <c r="C155" s="19"/>
      <c r="D155" s="46"/>
      <c r="E155" s="46"/>
      <c r="F155" s="19"/>
      <c r="G155" s="19"/>
    </row>
    <row r="156" spans="2:7" ht="15" customHeight="1" x14ac:dyDescent="0.25">
      <c r="B156" s="45"/>
      <c r="C156" s="19"/>
      <c r="D156" s="46"/>
      <c r="E156" s="46"/>
      <c r="F156" s="19"/>
      <c r="G156" s="19"/>
    </row>
    <row r="157" spans="2:7" ht="15" customHeight="1" x14ac:dyDescent="0.25">
      <c r="B157" s="45"/>
      <c r="C157" s="19"/>
      <c r="D157" s="46"/>
      <c r="E157" s="46"/>
      <c r="F157" s="19"/>
      <c r="G157" s="19"/>
    </row>
    <row r="158" spans="2:7" ht="15" customHeight="1" x14ac:dyDescent="0.25">
      <c r="B158" s="45"/>
      <c r="C158" s="19"/>
      <c r="D158" s="46"/>
      <c r="E158" s="46"/>
      <c r="F158" s="19"/>
      <c r="G158" s="19"/>
    </row>
    <row r="159" spans="2:7" ht="15" customHeight="1" x14ac:dyDescent="0.25">
      <c r="B159" s="45"/>
      <c r="C159" s="19"/>
      <c r="D159" s="46"/>
      <c r="E159" s="46"/>
      <c r="F159" s="19"/>
      <c r="G159" s="19"/>
    </row>
    <row r="160" spans="2:7" ht="15" customHeight="1" x14ac:dyDescent="0.25">
      <c r="B160" s="45"/>
      <c r="C160" s="19"/>
      <c r="D160" s="46"/>
      <c r="E160" s="46"/>
      <c r="F160" s="19"/>
      <c r="G160" s="19"/>
    </row>
    <row r="161" spans="2:7" ht="15" customHeight="1" x14ac:dyDescent="0.25">
      <c r="B161" s="45"/>
      <c r="C161" s="19"/>
      <c r="D161" s="46"/>
      <c r="E161" s="46"/>
      <c r="F161" s="19"/>
      <c r="G161" s="19"/>
    </row>
    <row r="162" spans="2:7" ht="15" customHeight="1" x14ac:dyDescent="0.25">
      <c r="B162" s="45"/>
      <c r="C162" s="19"/>
      <c r="D162" s="46"/>
      <c r="E162" s="46"/>
      <c r="F162" s="19"/>
      <c r="G162" s="19"/>
    </row>
    <row r="163" spans="2:7" ht="15" customHeight="1" x14ac:dyDescent="0.25">
      <c r="B163" s="45"/>
      <c r="C163" s="19"/>
      <c r="D163" s="46"/>
      <c r="E163" s="46"/>
      <c r="F163" s="19"/>
      <c r="G163" s="19"/>
    </row>
    <row r="164" spans="2:7" ht="15" customHeight="1" x14ac:dyDescent="0.25">
      <c r="B164" s="45"/>
      <c r="C164" s="19"/>
      <c r="D164" s="46"/>
      <c r="E164" s="46"/>
      <c r="F164" s="19"/>
      <c r="G164" s="19"/>
    </row>
    <row r="165" spans="2:7" ht="15" customHeight="1" x14ac:dyDescent="0.25">
      <c r="B165" s="45"/>
      <c r="C165" s="19"/>
      <c r="D165" s="46"/>
      <c r="E165" s="46"/>
      <c r="F165" s="19"/>
      <c r="G165" s="19"/>
    </row>
    <row r="166" spans="2:7" ht="15" customHeight="1" x14ac:dyDescent="0.25">
      <c r="B166" s="45"/>
      <c r="C166" s="19"/>
      <c r="D166" s="46"/>
      <c r="E166" s="46"/>
      <c r="F166" s="19"/>
      <c r="G166" s="19"/>
    </row>
    <row r="167" spans="2:7" ht="15" customHeight="1" x14ac:dyDescent="0.25">
      <c r="B167" s="45"/>
      <c r="C167" s="19"/>
      <c r="D167" s="46"/>
      <c r="E167" s="46"/>
      <c r="F167" s="19"/>
      <c r="G167" s="19"/>
    </row>
    <row r="168" spans="2:7" ht="15" customHeight="1" x14ac:dyDescent="0.25">
      <c r="B168" s="45"/>
      <c r="C168" s="19"/>
      <c r="D168" s="46"/>
      <c r="E168" s="46"/>
      <c r="F168" s="19"/>
      <c r="G168" s="19"/>
    </row>
    <row r="169" spans="2:7" ht="15" customHeight="1" x14ac:dyDescent="0.25">
      <c r="B169" s="45"/>
      <c r="C169" s="19"/>
      <c r="D169" s="46"/>
      <c r="E169" s="46"/>
      <c r="F169" s="19"/>
      <c r="G169" s="19"/>
    </row>
    <row r="170" spans="2:7" ht="15" customHeight="1" x14ac:dyDescent="0.25">
      <c r="B170" s="45"/>
      <c r="C170" s="19"/>
      <c r="D170" s="46"/>
      <c r="E170" s="46"/>
      <c r="F170" s="19"/>
      <c r="G170" s="19"/>
    </row>
    <row r="171" spans="2:7" ht="15" customHeight="1" x14ac:dyDescent="0.25">
      <c r="B171" s="45"/>
      <c r="C171" s="19"/>
      <c r="D171" s="46"/>
      <c r="E171" s="46"/>
      <c r="F171" s="19"/>
      <c r="G171" s="19"/>
    </row>
    <row r="172" spans="2:7" ht="15" customHeight="1" x14ac:dyDescent="0.25">
      <c r="B172" s="45"/>
      <c r="C172" s="19"/>
      <c r="D172" s="46"/>
      <c r="E172" s="46"/>
      <c r="F172" s="19"/>
      <c r="G172" s="19"/>
    </row>
    <row r="173" spans="2:7" ht="15" customHeight="1" x14ac:dyDescent="0.25">
      <c r="B173" s="45"/>
      <c r="C173" s="19"/>
      <c r="D173" s="46"/>
      <c r="E173" s="46"/>
      <c r="F173" s="19"/>
      <c r="G173" s="19"/>
    </row>
    <row r="174" spans="2:7" ht="15" customHeight="1" x14ac:dyDescent="0.25">
      <c r="B174" s="45"/>
      <c r="C174" s="19"/>
      <c r="D174" s="46"/>
      <c r="E174" s="46"/>
      <c r="F174" s="19"/>
      <c r="G174" s="19"/>
    </row>
    <row r="175" spans="2:7" ht="15" customHeight="1" x14ac:dyDescent="0.25">
      <c r="B175" s="45"/>
      <c r="C175" s="19"/>
      <c r="D175" s="46"/>
      <c r="E175" s="46"/>
      <c r="F175" s="19"/>
      <c r="G175" s="19"/>
    </row>
    <row r="176" spans="2:7" ht="15" customHeight="1" x14ac:dyDescent="0.25">
      <c r="B176" s="45"/>
      <c r="C176" s="19"/>
      <c r="D176" s="46"/>
      <c r="E176" s="46"/>
      <c r="F176" s="19"/>
      <c r="G176" s="19"/>
    </row>
    <row r="177" spans="2:7" ht="15" customHeight="1" x14ac:dyDescent="0.25">
      <c r="B177" s="45"/>
      <c r="C177" s="19"/>
      <c r="D177" s="46"/>
      <c r="E177" s="46"/>
      <c r="F177" s="19"/>
      <c r="G177" s="19"/>
    </row>
    <row r="178" spans="2:7" ht="15" customHeight="1" x14ac:dyDescent="0.25">
      <c r="B178" s="45"/>
      <c r="C178" s="19"/>
      <c r="D178" s="46"/>
      <c r="E178" s="46"/>
      <c r="F178" s="19"/>
      <c r="G178" s="19"/>
    </row>
    <row r="179" spans="2:7" ht="15" customHeight="1" x14ac:dyDescent="0.25">
      <c r="B179" s="45"/>
      <c r="C179" s="19"/>
      <c r="D179" s="46"/>
      <c r="E179" s="46"/>
      <c r="F179" s="19"/>
      <c r="G179" s="19"/>
    </row>
    <row r="180" spans="2:7" ht="15" customHeight="1" x14ac:dyDescent="0.25">
      <c r="B180" s="45"/>
      <c r="C180" s="19"/>
      <c r="D180" s="46"/>
      <c r="E180" s="46"/>
      <c r="F180" s="19"/>
      <c r="G180" s="19"/>
    </row>
    <row r="181" spans="2:7" ht="15" customHeight="1" x14ac:dyDescent="0.25">
      <c r="B181" s="45"/>
      <c r="C181" s="19"/>
      <c r="D181" s="46"/>
      <c r="E181" s="46"/>
      <c r="F181" s="19"/>
      <c r="G181" s="19"/>
    </row>
    <row r="182" spans="2:7" ht="15" customHeight="1" x14ac:dyDescent="0.25">
      <c r="B182" s="45"/>
      <c r="C182" s="19"/>
      <c r="D182" s="46"/>
      <c r="E182" s="46"/>
      <c r="F182" s="19"/>
      <c r="G182" s="19"/>
    </row>
    <row r="183" spans="2:7" ht="15" customHeight="1" x14ac:dyDescent="0.25">
      <c r="B183" s="45"/>
      <c r="C183" s="19"/>
      <c r="D183" s="46"/>
      <c r="E183" s="46"/>
      <c r="F183" s="19"/>
      <c r="G183" s="19"/>
    </row>
    <row r="184" spans="2:7" ht="15" customHeight="1" x14ac:dyDescent="0.25">
      <c r="B184" s="45"/>
      <c r="C184" s="19"/>
      <c r="D184" s="46"/>
      <c r="E184" s="46"/>
      <c r="F184" s="19"/>
      <c r="G184" s="19"/>
    </row>
    <row r="185" spans="2:7" ht="15" customHeight="1" x14ac:dyDescent="0.25">
      <c r="B185" s="45"/>
      <c r="C185" s="19"/>
      <c r="D185" s="46"/>
      <c r="E185" s="46"/>
      <c r="F185" s="19"/>
      <c r="G185" s="19"/>
    </row>
    <row r="186" spans="2:7" ht="15" customHeight="1" x14ac:dyDescent="0.25">
      <c r="B186" s="45"/>
      <c r="C186" s="19"/>
      <c r="D186" s="46"/>
      <c r="E186" s="46"/>
      <c r="F186" s="19"/>
      <c r="G186" s="19"/>
    </row>
    <row r="187" spans="2:7" ht="15" customHeight="1" x14ac:dyDescent="0.25">
      <c r="B187" s="45"/>
      <c r="C187" s="19"/>
      <c r="D187" s="46"/>
      <c r="E187" s="46"/>
      <c r="F187" s="19"/>
      <c r="G187" s="19"/>
    </row>
    <row r="188" spans="2:7" ht="15" customHeight="1" x14ac:dyDescent="0.25">
      <c r="B188" s="45"/>
      <c r="C188" s="19"/>
      <c r="D188" s="46"/>
      <c r="E188" s="46"/>
      <c r="F188" s="19"/>
      <c r="G188" s="19"/>
    </row>
    <row r="189" spans="2:7" ht="15" customHeight="1" x14ac:dyDescent="0.25">
      <c r="B189" s="45"/>
      <c r="C189" s="19"/>
      <c r="D189" s="46"/>
      <c r="E189" s="46"/>
      <c r="F189" s="19"/>
      <c r="G189" s="19"/>
    </row>
    <row r="190" spans="2:7" ht="15" customHeight="1" x14ac:dyDescent="0.25">
      <c r="B190" s="45"/>
      <c r="C190" s="19"/>
      <c r="D190" s="46"/>
      <c r="E190" s="46"/>
      <c r="F190" s="19"/>
      <c r="G190" s="19"/>
    </row>
    <row r="191" spans="2:7" ht="15" customHeight="1" x14ac:dyDescent="0.25">
      <c r="B191" s="45"/>
      <c r="C191" s="19"/>
      <c r="D191" s="46"/>
      <c r="E191" s="46"/>
      <c r="F191" s="19"/>
      <c r="G191" s="19"/>
    </row>
    <row r="192" spans="2:7" ht="15" customHeight="1" x14ac:dyDescent="0.25">
      <c r="B192" s="45"/>
      <c r="C192" s="19"/>
      <c r="D192" s="46"/>
      <c r="E192" s="46"/>
      <c r="F192" s="19"/>
      <c r="G192" s="19"/>
    </row>
    <row r="193" spans="2:7" ht="15" customHeight="1" x14ac:dyDescent="0.25">
      <c r="B193" s="45"/>
      <c r="C193" s="19"/>
      <c r="D193" s="46"/>
      <c r="E193" s="46"/>
      <c r="F193" s="19"/>
      <c r="G193" s="19"/>
    </row>
    <row r="194" spans="2:7" ht="15" customHeight="1" x14ac:dyDescent="0.25">
      <c r="B194" s="45"/>
      <c r="C194" s="19"/>
      <c r="D194" s="46"/>
      <c r="E194" s="46"/>
      <c r="F194" s="19"/>
      <c r="G194" s="19"/>
    </row>
    <row r="195" spans="2:7" ht="15" customHeight="1" x14ac:dyDescent="0.25">
      <c r="B195" s="45"/>
      <c r="C195" s="19"/>
      <c r="D195" s="46"/>
      <c r="E195" s="46"/>
      <c r="F195" s="19"/>
      <c r="G195" s="19"/>
    </row>
    <row r="196" spans="2:7" ht="15" customHeight="1" x14ac:dyDescent="0.25">
      <c r="B196" s="45"/>
      <c r="C196" s="19"/>
      <c r="D196" s="46"/>
      <c r="E196" s="46"/>
      <c r="F196" s="19"/>
      <c r="G196" s="19"/>
    </row>
    <row r="197" spans="2:7" ht="15" customHeight="1" x14ac:dyDescent="0.25">
      <c r="B197" s="45"/>
      <c r="C197" s="19"/>
      <c r="D197" s="46"/>
      <c r="E197" s="46"/>
      <c r="F197" s="19"/>
      <c r="G197" s="19"/>
    </row>
    <row r="198" spans="2:7" ht="15" customHeight="1" x14ac:dyDescent="0.25">
      <c r="B198" s="45"/>
      <c r="C198" s="19"/>
      <c r="D198" s="46"/>
      <c r="E198" s="46"/>
      <c r="F198" s="19"/>
      <c r="G198" s="19"/>
    </row>
    <row r="199" spans="2:7" ht="15" customHeight="1" x14ac:dyDescent="0.25">
      <c r="B199" s="45"/>
      <c r="C199" s="19"/>
      <c r="D199" s="46"/>
      <c r="E199" s="46"/>
      <c r="F199" s="19"/>
      <c r="G199" s="19"/>
    </row>
    <row r="200" spans="2:7" ht="15" customHeight="1" x14ac:dyDescent="0.25">
      <c r="B200" s="45"/>
      <c r="C200" s="19"/>
      <c r="D200" s="46"/>
      <c r="E200" s="46"/>
      <c r="F200" s="19"/>
      <c r="G200" s="19"/>
    </row>
    <row r="201" spans="2:7" ht="15" customHeight="1" x14ac:dyDescent="0.25">
      <c r="B201" s="45"/>
      <c r="C201" s="19"/>
      <c r="D201" s="46"/>
      <c r="E201" s="46"/>
      <c r="F201" s="19"/>
      <c r="G201" s="19"/>
    </row>
    <row r="202" spans="2:7" ht="15" customHeight="1" x14ac:dyDescent="0.25">
      <c r="B202" s="45"/>
      <c r="C202" s="19"/>
      <c r="D202" s="46"/>
      <c r="E202" s="46"/>
      <c r="F202" s="19"/>
      <c r="G202" s="19"/>
    </row>
    <row r="203" spans="2:7" ht="15" customHeight="1" x14ac:dyDescent="0.25">
      <c r="B203" s="45"/>
      <c r="C203" s="19"/>
      <c r="D203" s="46"/>
      <c r="E203" s="46"/>
      <c r="F203" s="19"/>
      <c r="G203" s="19"/>
    </row>
    <row r="204" spans="2:7" ht="15" customHeight="1" x14ac:dyDescent="0.25">
      <c r="B204" s="45"/>
      <c r="C204" s="19"/>
      <c r="D204" s="46"/>
      <c r="E204" s="46"/>
      <c r="F204" s="19"/>
      <c r="G204" s="19"/>
    </row>
    <row r="205" spans="2:7" ht="15" customHeight="1" x14ac:dyDescent="0.25">
      <c r="B205" s="45"/>
      <c r="C205" s="19"/>
      <c r="D205" s="46"/>
      <c r="E205" s="46"/>
      <c r="F205" s="19"/>
      <c r="G205" s="19"/>
    </row>
    <row r="206" spans="2:7" ht="15" customHeight="1" x14ac:dyDescent="0.25">
      <c r="B206" s="45"/>
      <c r="C206" s="19"/>
      <c r="D206" s="46"/>
      <c r="E206" s="46"/>
      <c r="F206" s="19"/>
      <c r="G206" s="19"/>
    </row>
    <row r="207" spans="2:7" ht="15" customHeight="1" x14ac:dyDescent="0.25">
      <c r="B207" s="45"/>
      <c r="C207" s="19"/>
      <c r="D207" s="46"/>
      <c r="E207" s="46"/>
      <c r="F207" s="19"/>
      <c r="G207" s="19"/>
    </row>
    <row r="208" spans="2:7" ht="15" customHeight="1" x14ac:dyDescent="0.25">
      <c r="B208" s="45"/>
      <c r="C208" s="19"/>
      <c r="D208" s="46"/>
      <c r="E208" s="46"/>
      <c r="F208" s="19"/>
      <c r="G208" s="19"/>
    </row>
    <row r="209" spans="2:7" ht="15" customHeight="1" x14ac:dyDescent="0.25">
      <c r="B209" s="45"/>
      <c r="C209" s="19"/>
      <c r="D209" s="46"/>
      <c r="E209" s="46"/>
      <c r="F209" s="19"/>
      <c r="G209" s="19"/>
    </row>
    <row r="210" spans="2:7" ht="15" customHeight="1" x14ac:dyDescent="0.25">
      <c r="B210" s="45"/>
      <c r="C210" s="19"/>
      <c r="D210" s="46"/>
      <c r="E210" s="46"/>
      <c r="F210" s="19"/>
      <c r="G210" s="19"/>
    </row>
    <row r="211" spans="2:7" ht="15" customHeight="1" x14ac:dyDescent="0.25">
      <c r="B211" s="45"/>
      <c r="C211" s="19"/>
      <c r="D211" s="46"/>
      <c r="E211" s="46"/>
      <c r="F211" s="19"/>
      <c r="G211" s="19"/>
    </row>
    <row r="212" spans="2:7" ht="15" customHeight="1" x14ac:dyDescent="0.25">
      <c r="B212" s="45"/>
      <c r="C212" s="19"/>
      <c r="D212" s="46"/>
      <c r="E212" s="46"/>
      <c r="F212" s="19"/>
      <c r="G212" s="19"/>
    </row>
    <row r="213" spans="2:7" ht="15" customHeight="1" x14ac:dyDescent="0.25">
      <c r="B213" s="45"/>
      <c r="C213" s="19"/>
      <c r="D213" s="46"/>
      <c r="E213" s="46"/>
      <c r="F213" s="19"/>
      <c r="G213" s="19"/>
    </row>
    <row r="214" spans="2:7" ht="15" customHeight="1" x14ac:dyDescent="0.25">
      <c r="B214" s="45"/>
      <c r="C214" s="19"/>
      <c r="D214" s="46"/>
      <c r="E214" s="46"/>
      <c r="F214" s="19"/>
      <c r="G214" s="19"/>
    </row>
    <row r="215" spans="2:7" ht="15" customHeight="1" x14ac:dyDescent="0.25">
      <c r="B215" s="45"/>
      <c r="C215" s="19"/>
      <c r="D215" s="46"/>
      <c r="E215" s="46"/>
      <c r="F215" s="19"/>
      <c r="G215" s="19"/>
    </row>
    <row r="216" spans="2:7" ht="15" customHeight="1" x14ac:dyDescent="0.25">
      <c r="B216" s="45"/>
      <c r="C216" s="19"/>
      <c r="D216" s="46"/>
      <c r="E216" s="46"/>
      <c r="F216" s="19"/>
      <c r="G216" s="19"/>
    </row>
    <row r="217" spans="2:7" ht="15" customHeight="1" x14ac:dyDescent="0.25">
      <c r="B217" s="45"/>
      <c r="C217" s="19"/>
      <c r="D217" s="46"/>
      <c r="E217" s="46"/>
      <c r="F217" s="19"/>
      <c r="G217" s="19"/>
    </row>
    <row r="218" spans="2:7" ht="15" customHeight="1" x14ac:dyDescent="0.25">
      <c r="B218" s="45"/>
      <c r="C218" s="19"/>
      <c r="D218" s="46"/>
      <c r="E218" s="46"/>
      <c r="F218" s="19"/>
      <c r="G218" s="19"/>
    </row>
    <row r="219" spans="2:7" ht="15" customHeight="1" x14ac:dyDescent="0.25">
      <c r="B219" s="45"/>
      <c r="C219" s="19"/>
      <c r="D219" s="46"/>
      <c r="E219" s="46"/>
      <c r="F219" s="19"/>
      <c r="G219" s="19"/>
    </row>
    <row r="220" spans="2:7" ht="15" customHeight="1" x14ac:dyDescent="0.25">
      <c r="B220" s="45"/>
      <c r="C220" s="19"/>
      <c r="D220" s="46"/>
      <c r="E220" s="46"/>
      <c r="F220" s="19"/>
      <c r="G220" s="19"/>
    </row>
    <row r="221" spans="2:7" ht="15" customHeight="1" x14ac:dyDescent="0.25">
      <c r="B221" s="45"/>
      <c r="C221" s="19"/>
      <c r="D221" s="46"/>
      <c r="E221" s="46"/>
      <c r="F221" s="19"/>
      <c r="G221" s="19"/>
    </row>
    <row r="222" spans="2:7" ht="15" customHeight="1" x14ac:dyDescent="0.25">
      <c r="B222" s="45"/>
      <c r="C222" s="19"/>
      <c r="D222" s="46"/>
      <c r="E222" s="46"/>
      <c r="F222" s="19"/>
      <c r="G222" s="19"/>
    </row>
    <row r="223" spans="2:7" ht="15" customHeight="1" x14ac:dyDescent="0.25">
      <c r="B223" s="45"/>
      <c r="C223" s="19"/>
      <c r="D223" s="46"/>
      <c r="E223" s="46"/>
      <c r="F223" s="19"/>
      <c r="G223" s="19"/>
    </row>
    <row r="224" spans="2:7" ht="15" customHeight="1" x14ac:dyDescent="0.25">
      <c r="B224" s="45"/>
      <c r="C224" s="19"/>
      <c r="D224" s="46"/>
      <c r="E224" s="46"/>
      <c r="F224" s="19"/>
      <c r="G224" s="19"/>
    </row>
    <row r="225" spans="2:7" ht="15" customHeight="1" x14ac:dyDescent="0.25">
      <c r="B225" s="45"/>
      <c r="C225" s="19"/>
      <c r="D225" s="46"/>
      <c r="E225" s="46"/>
      <c r="F225" s="19"/>
      <c r="G225" s="19"/>
    </row>
    <row r="226" spans="2:7" ht="15" customHeight="1" x14ac:dyDescent="0.25">
      <c r="B226" s="45"/>
      <c r="C226" s="19"/>
      <c r="D226" s="46"/>
      <c r="E226" s="46"/>
      <c r="F226" s="19"/>
      <c r="G226" s="19"/>
    </row>
    <row r="227" spans="2:7" ht="15" customHeight="1" x14ac:dyDescent="0.25">
      <c r="B227" s="45"/>
      <c r="C227" s="19"/>
      <c r="D227" s="46"/>
      <c r="E227" s="46"/>
      <c r="F227" s="19"/>
      <c r="G227" s="19"/>
    </row>
    <row r="228" spans="2:7" ht="15" customHeight="1" x14ac:dyDescent="0.25">
      <c r="B228" s="45"/>
      <c r="C228" s="19"/>
      <c r="D228" s="46"/>
      <c r="E228" s="46"/>
      <c r="F228" s="19"/>
      <c r="G228" s="19"/>
    </row>
    <row r="229" spans="2:7" ht="15" customHeight="1" x14ac:dyDescent="0.25">
      <c r="B229" s="45"/>
      <c r="C229" s="19"/>
      <c r="D229" s="46"/>
      <c r="E229" s="46"/>
      <c r="F229" s="19"/>
      <c r="G229" s="19"/>
    </row>
    <row r="230" spans="2:7" ht="15" customHeight="1" x14ac:dyDescent="0.25">
      <c r="B230" s="45"/>
      <c r="C230" s="19"/>
      <c r="D230" s="46"/>
      <c r="E230" s="46"/>
      <c r="F230" s="19"/>
      <c r="G230" s="19"/>
    </row>
    <row r="231" spans="2:7" ht="15" customHeight="1" x14ac:dyDescent="0.25">
      <c r="B231" s="45"/>
      <c r="C231" s="19"/>
      <c r="D231" s="46"/>
      <c r="E231" s="46"/>
      <c r="F231" s="19"/>
      <c r="G231" s="19"/>
    </row>
    <row r="232" spans="2:7" ht="15" customHeight="1" x14ac:dyDescent="0.25">
      <c r="B232" s="45"/>
      <c r="C232" s="19"/>
      <c r="D232" s="46"/>
      <c r="E232" s="46"/>
      <c r="F232" s="19"/>
      <c r="G232" s="19"/>
    </row>
    <row r="233" spans="2:7" ht="15" customHeight="1" x14ac:dyDescent="0.25">
      <c r="B233" s="45"/>
      <c r="C233" s="19"/>
      <c r="D233" s="46"/>
      <c r="E233" s="46"/>
      <c r="F233" s="19"/>
      <c r="G233" s="19"/>
    </row>
    <row r="234" spans="2:7" ht="15" customHeight="1" x14ac:dyDescent="0.25">
      <c r="B234" s="45"/>
      <c r="C234" s="19"/>
      <c r="D234" s="46"/>
      <c r="E234" s="46"/>
      <c r="F234" s="19"/>
      <c r="G234" s="19"/>
    </row>
    <row r="235" spans="2:7" ht="15" customHeight="1" x14ac:dyDescent="0.25">
      <c r="B235" s="45"/>
      <c r="C235" s="19"/>
      <c r="D235" s="46"/>
      <c r="E235" s="46"/>
      <c r="F235" s="19"/>
      <c r="G235" s="19"/>
    </row>
    <row r="236" spans="2:7" ht="15" customHeight="1" x14ac:dyDescent="0.25">
      <c r="B236" s="45"/>
      <c r="C236" s="19"/>
      <c r="D236" s="46"/>
      <c r="E236" s="46"/>
      <c r="F236" s="19"/>
      <c r="G236" s="19"/>
    </row>
    <row r="237" spans="2:7" ht="15" customHeight="1" x14ac:dyDescent="0.25">
      <c r="B237" s="45"/>
      <c r="C237" s="19"/>
      <c r="D237" s="46"/>
      <c r="E237" s="46"/>
      <c r="F237" s="19"/>
      <c r="G237" s="19"/>
    </row>
    <row r="238" spans="2:7" ht="15" customHeight="1" x14ac:dyDescent="0.25">
      <c r="B238" s="45"/>
      <c r="C238" s="19"/>
      <c r="D238" s="46"/>
      <c r="E238" s="46"/>
      <c r="F238" s="19"/>
      <c r="G238" s="19"/>
    </row>
    <row r="239" spans="2:7" ht="15" customHeight="1" x14ac:dyDescent="0.25">
      <c r="B239" s="45"/>
      <c r="C239" s="19"/>
      <c r="D239" s="46"/>
      <c r="E239" s="46"/>
      <c r="F239" s="19"/>
      <c r="G239" s="19"/>
    </row>
    <row r="240" spans="2:7" ht="15" customHeight="1" x14ac:dyDescent="0.25">
      <c r="B240" s="45"/>
      <c r="C240" s="19"/>
      <c r="D240" s="46"/>
      <c r="E240" s="46"/>
      <c r="F240" s="19"/>
      <c r="G240" s="19"/>
    </row>
    <row r="241" spans="2:7" ht="15" customHeight="1" x14ac:dyDescent="0.25">
      <c r="B241" s="45"/>
      <c r="C241" s="19"/>
      <c r="D241" s="46"/>
      <c r="E241" s="46"/>
      <c r="F241" s="19"/>
      <c r="G241" s="19"/>
    </row>
    <row r="242" spans="2:7" ht="15" customHeight="1" x14ac:dyDescent="0.25">
      <c r="B242" s="45"/>
      <c r="C242" s="19"/>
      <c r="D242" s="46"/>
      <c r="E242" s="46"/>
      <c r="F242" s="19"/>
      <c r="G242" s="19"/>
    </row>
    <row r="243" spans="2:7" ht="15" customHeight="1" x14ac:dyDescent="0.25">
      <c r="B243" s="45"/>
      <c r="C243" s="19"/>
      <c r="D243" s="46"/>
      <c r="E243" s="46"/>
      <c r="F243" s="19"/>
      <c r="G243" s="19"/>
    </row>
    <row r="244" spans="2:7" ht="15" customHeight="1" x14ac:dyDescent="0.25">
      <c r="B244" s="45"/>
      <c r="C244" s="19"/>
      <c r="D244" s="46"/>
      <c r="E244" s="46"/>
      <c r="F244" s="19"/>
      <c r="G244" s="19"/>
    </row>
    <row r="245" spans="2:7" ht="15" customHeight="1" x14ac:dyDescent="0.25">
      <c r="B245" s="45"/>
      <c r="C245" s="19"/>
      <c r="D245" s="46"/>
      <c r="E245" s="46"/>
      <c r="F245" s="19"/>
      <c r="G245" s="19"/>
    </row>
    <row r="246" spans="2:7" ht="15" customHeight="1" x14ac:dyDescent="0.25">
      <c r="B246" s="45"/>
      <c r="C246" s="19"/>
      <c r="D246" s="46"/>
      <c r="E246" s="46"/>
      <c r="F246" s="19"/>
      <c r="G246" s="19"/>
    </row>
    <row r="247" spans="2:7" ht="15" customHeight="1" x14ac:dyDescent="0.25">
      <c r="B247" s="45"/>
      <c r="C247" s="19"/>
      <c r="D247" s="46"/>
      <c r="E247" s="46"/>
      <c r="F247" s="19"/>
      <c r="G247" s="19"/>
    </row>
    <row r="248" spans="2:7" ht="15" customHeight="1" x14ac:dyDescent="0.25">
      <c r="B248" s="45"/>
      <c r="C248" s="19"/>
      <c r="D248" s="46"/>
      <c r="E248" s="46"/>
      <c r="F248" s="19"/>
      <c r="G248" s="19"/>
    </row>
    <row r="249" spans="2:7" ht="15" customHeight="1" x14ac:dyDescent="0.25">
      <c r="B249" s="45"/>
      <c r="C249" s="19"/>
      <c r="D249" s="46"/>
      <c r="E249" s="46"/>
      <c r="F249" s="19"/>
      <c r="G249" s="19"/>
    </row>
    <row r="250" spans="2:7" ht="15" customHeight="1" x14ac:dyDescent="0.25">
      <c r="B250" s="45"/>
      <c r="C250" s="19"/>
      <c r="D250" s="46"/>
      <c r="E250" s="46"/>
      <c r="F250" s="19"/>
      <c r="G250" s="19"/>
    </row>
    <row r="251" spans="2:7" ht="15" customHeight="1" x14ac:dyDescent="0.25">
      <c r="B251" s="45"/>
      <c r="C251" s="19"/>
      <c r="D251" s="46"/>
      <c r="E251" s="46"/>
      <c r="F251" s="19"/>
      <c r="G251" s="19"/>
    </row>
    <row r="252" spans="2:7" ht="15" customHeight="1" x14ac:dyDescent="0.25">
      <c r="B252" s="45"/>
      <c r="C252" s="19"/>
      <c r="D252" s="46"/>
      <c r="E252" s="46"/>
      <c r="F252" s="19"/>
      <c r="G252" s="19"/>
    </row>
    <row r="253" spans="2:7" ht="15" customHeight="1" x14ac:dyDescent="0.25">
      <c r="B253" s="45"/>
      <c r="C253" s="19"/>
      <c r="D253" s="46"/>
      <c r="E253" s="46"/>
      <c r="F253" s="19"/>
      <c r="G253" s="19"/>
    </row>
    <row r="254" spans="2:7" ht="15" customHeight="1" x14ac:dyDescent="0.25">
      <c r="B254" s="45"/>
      <c r="C254" s="19"/>
      <c r="D254" s="46"/>
      <c r="E254" s="46"/>
      <c r="F254" s="19"/>
      <c r="G254" s="19"/>
    </row>
    <row r="255" spans="2:7" ht="15" customHeight="1" x14ac:dyDescent="0.25">
      <c r="B255" s="45"/>
      <c r="C255" s="19"/>
      <c r="D255" s="46"/>
      <c r="E255" s="46"/>
      <c r="F255" s="19"/>
      <c r="G255" s="19"/>
    </row>
    <row r="256" spans="2:7" ht="15" customHeight="1" x14ac:dyDescent="0.25">
      <c r="B256" s="45"/>
      <c r="C256" s="19"/>
      <c r="D256" s="46"/>
      <c r="E256" s="46"/>
      <c r="F256" s="19"/>
      <c r="G256" s="19"/>
    </row>
    <row r="257" spans="2:7" ht="15" customHeight="1" x14ac:dyDescent="0.25">
      <c r="B257" s="45"/>
      <c r="C257" s="19"/>
      <c r="D257" s="46"/>
      <c r="E257" s="46"/>
      <c r="F257" s="19"/>
      <c r="G257" s="19"/>
    </row>
    <row r="258" spans="2:7" ht="15" customHeight="1" x14ac:dyDescent="0.25">
      <c r="B258" s="45"/>
      <c r="C258" s="19"/>
      <c r="D258" s="46"/>
      <c r="E258" s="46"/>
      <c r="F258" s="19"/>
      <c r="G258" s="19"/>
    </row>
    <row r="259" spans="2:7" ht="15" customHeight="1" x14ac:dyDescent="0.25">
      <c r="B259" s="45"/>
      <c r="C259" s="19"/>
      <c r="D259" s="46"/>
      <c r="E259" s="46"/>
      <c r="F259" s="19"/>
      <c r="G259" s="19"/>
    </row>
    <row r="260" spans="2:7" ht="15" customHeight="1" x14ac:dyDescent="0.25">
      <c r="B260" s="45"/>
      <c r="C260" s="19"/>
      <c r="D260" s="46"/>
      <c r="E260" s="46"/>
      <c r="F260" s="19"/>
      <c r="G260" s="19"/>
    </row>
    <row r="261" spans="2:7" ht="15" customHeight="1" x14ac:dyDescent="0.25">
      <c r="B261" s="45"/>
      <c r="C261" s="19"/>
      <c r="D261" s="46"/>
      <c r="E261" s="46"/>
      <c r="F261" s="19"/>
      <c r="G261" s="19"/>
    </row>
    <row r="262" spans="2:7" ht="15" customHeight="1" x14ac:dyDescent="0.25">
      <c r="B262" s="45"/>
      <c r="C262" s="19"/>
      <c r="D262" s="46"/>
      <c r="E262" s="46"/>
      <c r="F262" s="19"/>
      <c r="G262" s="19"/>
    </row>
    <row r="263" spans="2:7" ht="15" customHeight="1" x14ac:dyDescent="0.25">
      <c r="B263" s="45"/>
      <c r="C263" s="19"/>
      <c r="D263" s="46"/>
      <c r="E263" s="46"/>
      <c r="F263" s="19"/>
      <c r="G263" s="19"/>
    </row>
    <row r="264" spans="2:7" ht="15" customHeight="1" x14ac:dyDescent="0.25">
      <c r="B264" s="45"/>
      <c r="C264" s="19"/>
      <c r="D264" s="46"/>
      <c r="E264" s="46"/>
      <c r="F264" s="19"/>
      <c r="G264" s="19"/>
    </row>
    <row r="265" spans="2:7" ht="15" customHeight="1" x14ac:dyDescent="0.25">
      <c r="B265" s="45"/>
      <c r="C265" s="19"/>
      <c r="D265" s="46"/>
      <c r="E265" s="46"/>
      <c r="F265" s="19"/>
      <c r="G265" s="19"/>
    </row>
    <row r="266" spans="2:7" ht="15" customHeight="1" x14ac:dyDescent="0.25">
      <c r="B266" s="45"/>
      <c r="C266" s="19"/>
      <c r="D266" s="46"/>
      <c r="E266" s="46"/>
      <c r="F266" s="19"/>
      <c r="G266" s="19"/>
    </row>
    <row r="267" spans="2:7" ht="15" customHeight="1" x14ac:dyDescent="0.25">
      <c r="B267" s="45"/>
      <c r="C267" s="19"/>
      <c r="D267" s="46"/>
      <c r="E267" s="46"/>
      <c r="F267" s="19"/>
      <c r="G267" s="19"/>
    </row>
    <row r="268" spans="2:7" ht="15" customHeight="1" x14ac:dyDescent="0.25">
      <c r="B268" s="45"/>
      <c r="C268" s="19"/>
      <c r="D268" s="46"/>
      <c r="E268" s="46"/>
      <c r="F268" s="19"/>
      <c r="G268" s="19"/>
    </row>
    <row r="269" spans="2:7" ht="15" customHeight="1" x14ac:dyDescent="0.25">
      <c r="B269" s="45"/>
      <c r="C269" s="19"/>
      <c r="D269" s="46"/>
      <c r="E269" s="46"/>
      <c r="F269" s="19"/>
      <c r="G269" s="19"/>
    </row>
    <row r="270" spans="2:7" ht="15" customHeight="1" x14ac:dyDescent="0.25">
      <c r="B270" s="45"/>
      <c r="C270" s="19"/>
      <c r="D270" s="46"/>
      <c r="E270" s="46"/>
      <c r="F270" s="19"/>
      <c r="G270" s="19"/>
    </row>
    <row r="271" spans="2:7" ht="15" customHeight="1" x14ac:dyDescent="0.25">
      <c r="B271" s="45"/>
      <c r="C271" s="19"/>
      <c r="D271" s="46"/>
      <c r="E271" s="46"/>
      <c r="F271" s="19"/>
      <c r="G271" s="19"/>
    </row>
    <row r="272" spans="2:7" ht="15" customHeight="1" x14ac:dyDescent="0.25">
      <c r="B272" s="45"/>
      <c r="C272" s="19"/>
      <c r="D272" s="46"/>
      <c r="E272" s="46"/>
      <c r="F272" s="19"/>
      <c r="G272" s="19"/>
    </row>
    <row r="273" spans="2:7" ht="15" customHeight="1" x14ac:dyDescent="0.25">
      <c r="B273" s="45"/>
      <c r="C273" s="19"/>
      <c r="D273" s="46"/>
      <c r="E273" s="46"/>
      <c r="F273" s="19"/>
      <c r="G273" s="19"/>
    </row>
    <row r="274" spans="2:7" ht="15" customHeight="1" x14ac:dyDescent="0.25">
      <c r="B274" s="45"/>
      <c r="C274" s="19"/>
      <c r="D274" s="46"/>
      <c r="E274" s="46"/>
      <c r="F274" s="19"/>
      <c r="G274" s="19"/>
    </row>
    <row r="275" spans="2:7" ht="15" customHeight="1" x14ac:dyDescent="0.25">
      <c r="B275" s="45"/>
      <c r="C275" s="19"/>
      <c r="D275" s="46"/>
      <c r="E275" s="46"/>
      <c r="F275" s="19"/>
      <c r="G275" s="19"/>
    </row>
    <row r="276" spans="2:7" ht="15" customHeight="1" x14ac:dyDescent="0.25">
      <c r="B276" s="45"/>
      <c r="C276" s="19"/>
      <c r="D276" s="46"/>
      <c r="E276" s="46"/>
      <c r="F276" s="19"/>
      <c r="G276" s="19"/>
    </row>
    <row r="277" spans="2:7" ht="15" customHeight="1" x14ac:dyDescent="0.25">
      <c r="B277" s="45"/>
      <c r="C277" s="19"/>
      <c r="D277" s="46"/>
      <c r="E277" s="46"/>
      <c r="F277" s="19"/>
      <c r="G277" s="19"/>
    </row>
    <row r="278" spans="2:7" ht="15" customHeight="1" x14ac:dyDescent="0.25">
      <c r="B278" s="45"/>
      <c r="C278" s="19"/>
      <c r="D278" s="46"/>
      <c r="E278" s="46"/>
      <c r="F278" s="19"/>
      <c r="G278" s="19"/>
    </row>
    <row r="279" spans="2:7" ht="15" customHeight="1" x14ac:dyDescent="0.25">
      <c r="B279" s="45"/>
      <c r="C279" s="19"/>
      <c r="D279" s="46"/>
      <c r="E279" s="46"/>
      <c r="F279" s="19"/>
      <c r="G279" s="19"/>
    </row>
    <row r="280" spans="2:7" ht="15" customHeight="1" x14ac:dyDescent="0.25">
      <c r="B280" s="45"/>
      <c r="C280" s="19"/>
      <c r="D280" s="46"/>
      <c r="E280" s="46"/>
      <c r="F280" s="19"/>
      <c r="G280" s="19"/>
    </row>
    <row r="281" spans="2:7" ht="15" customHeight="1" x14ac:dyDescent="0.25">
      <c r="B281" s="45"/>
      <c r="C281" s="19"/>
      <c r="D281" s="46"/>
      <c r="E281" s="46"/>
      <c r="F281" s="19"/>
      <c r="G281" s="19"/>
    </row>
    <row r="282" spans="2:7" ht="15" customHeight="1" x14ac:dyDescent="0.25">
      <c r="B282" s="45"/>
      <c r="C282" s="19"/>
      <c r="D282" s="46"/>
      <c r="E282" s="46"/>
      <c r="F282" s="19"/>
      <c r="G282" s="19"/>
    </row>
    <row r="283" spans="2:7" ht="15" customHeight="1" x14ac:dyDescent="0.25">
      <c r="B283" s="45"/>
      <c r="C283" s="19"/>
      <c r="D283" s="46"/>
      <c r="E283" s="46"/>
      <c r="F283" s="19"/>
      <c r="G283" s="19"/>
    </row>
    <row r="284" spans="2:7" ht="15" customHeight="1" x14ac:dyDescent="0.25">
      <c r="B284" s="45"/>
      <c r="C284" s="19"/>
      <c r="D284" s="46"/>
      <c r="E284" s="46"/>
      <c r="F284" s="19"/>
      <c r="G284" s="19"/>
    </row>
    <row r="285" spans="2:7" ht="15" customHeight="1" x14ac:dyDescent="0.25">
      <c r="B285" s="45"/>
      <c r="C285" s="19"/>
      <c r="D285" s="46"/>
      <c r="E285" s="46"/>
      <c r="F285" s="19"/>
      <c r="G285" s="19"/>
    </row>
    <row r="286" spans="2:7" ht="15" customHeight="1" x14ac:dyDescent="0.25">
      <c r="B286" s="45"/>
      <c r="C286" s="19"/>
      <c r="D286" s="46"/>
      <c r="E286" s="46"/>
      <c r="F286" s="19"/>
      <c r="G286" s="19"/>
    </row>
    <row r="287" spans="2:7" ht="15" customHeight="1" x14ac:dyDescent="0.25">
      <c r="B287" s="45"/>
      <c r="C287" s="19"/>
      <c r="D287" s="46"/>
      <c r="E287" s="46"/>
      <c r="F287" s="19"/>
      <c r="G287" s="19"/>
    </row>
    <row r="288" spans="2:7" ht="15" customHeight="1" x14ac:dyDescent="0.25">
      <c r="B288" s="45"/>
      <c r="C288" s="19"/>
      <c r="D288" s="46"/>
      <c r="E288" s="46"/>
      <c r="F288" s="19"/>
      <c r="G288" s="19"/>
    </row>
    <row r="289" spans="2:7" ht="15" customHeight="1" x14ac:dyDescent="0.25">
      <c r="B289" s="45"/>
      <c r="C289" s="19"/>
      <c r="D289" s="46"/>
      <c r="E289" s="46"/>
      <c r="F289" s="19"/>
      <c r="G289" s="19"/>
    </row>
    <row r="290" spans="2:7" ht="15" customHeight="1" x14ac:dyDescent="0.25">
      <c r="B290" s="45"/>
      <c r="C290" s="19"/>
      <c r="D290" s="46"/>
      <c r="E290" s="46"/>
      <c r="F290" s="19"/>
      <c r="G290" s="19"/>
    </row>
    <row r="291" spans="2:7" ht="15" customHeight="1" x14ac:dyDescent="0.25">
      <c r="B291" s="45"/>
      <c r="C291" s="19"/>
      <c r="D291" s="46"/>
      <c r="E291" s="46"/>
      <c r="F291" s="19"/>
      <c r="G291" s="19"/>
    </row>
    <row r="292" spans="2:7" ht="15" customHeight="1" x14ac:dyDescent="0.25">
      <c r="B292" s="45"/>
      <c r="C292" s="19"/>
      <c r="D292" s="46"/>
      <c r="E292" s="46"/>
      <c r="F292" s="19"/>
      <c r="G292" s="19"/>
    </row>
    <row r="293" spans="2:7" ht="15" customHeight="1" x14ac:dyDescent="0.25">
      <c r="B293" s="45"/>
      <c r="C293" s="19"/>
      <c r="D293" s="46"/>
      <c r="E293" s="46"/>
      <c r="F293" s="19"/>
      <c r="G293" s="19"/>
    </row>
    <row r="294" spans="2:7" ht="15" customHeight="1" x14ac:dyDescent="0.25">
      <c r="B294" s="45"/>
      <c r="C294" s="19"/>
      <c r="D294" s="46"/>
      <c r="E294" s="46"/>
      <c r="F294" s="19"/>
      <c r="G294" s="19"/>
    </row>
    <row r="295" spans="2:7" ht="15" customHeight="1" x14ac:dyDescent="0.25">
      <c r="B295" s="45"/>
      <c r="C295" s="19"/>
      <c r="D295" s="46"/>
      <c r="E295" s="46"/>
      <c r="F295" s="19"/>
      <c r="G295" s="19"/>
    </row>
    <row r="296" spans="2:7" ht="15" customHeight="1" x14ac:dyDescent="0.25">
      <c r="B296" s="45"/>
      <c r="C296" s="19"/>
      <c r="D296" s="46"/>
      <c r="E296" s="46"/>
      <c r="F296" s="19"/>
      <c r="G296" s="19"/>
    </row>
    <row r="297" spans="2:7" ht="15" customHeight="1" x14ac:dyDescent="0.25">
      <c r="B297" s="45"/>
      <c r="C297" s="19"/>
      <c r="D297" s="46"/>
      <c r="E297" s="46"/>
      <c r="F297" s="19"/>
      <c r="G297" s="19"/>
    </row>
    <row r="298" spans="2:7" ht="15" customHeight="1" x14ac:dyDescent="0.25">
      <c r="B298" s="45"/>
      <c r="C298" s="19"/>
      <c r="D298" s="46"/>
      <c r="E298" s="46"/>
      <c r="F298" s="19"/>
      <c r="G298" s="19"/>
    </row>
    <row r="299" spans="2:7" ht="15" customHeight="1" x14ac:dyDescent="0.25">
      <c r="B299" s="45"/>
      <c r="C299" s="19"/>
      <c r="D299" s="46"/>
      <c r="E299" s="46"/>
      <c r="F299" s="19"/>
      <c r="G299" s="19"/>
    </row>
    <row r="300" spans="2:7" ht="15" customHeight="1" x14ac:dyDescent="0.25">
      <c r="B300" s="45"/>
      <c r="C300" s="19"/>
      <c r="D300" s="46"/>
      <c r="E300" s="46"/>
      <c r="F300" s="19"/>
      <c r="G300" s="19"/>
    </row>
    <row r="301" spans="2:7" ht="15" customHeight="1" x14ac:dyDescent="0.25">
      <c r="B301" s="45"/>
      <c r="C301" s="19"/>
      <c r="D301" s="46"/>
      <c r="E301" s="46"/>
      <c r="F301" s="19"/>
      <c r="G301" s="19"/>
    </row>
    <row r="302" spans="2:7" ht="15" customHeight="1" x14ac:dyDescent="0.25">
      <c r="B302" s="45"/>
      <c r="C302" s="19"/>
      <c r="D302" s="46"/>
      <c r="E302" s="46"/>
      <c r="F302" s="19"/>
      <c r="G302" s="19"/>
    </row>
    <row r="303" spans="2:7" ht="15" customHeight="1" x14ac:dyDescent="0.25">
      <c r="B303" s="45"/>
      <c r="C303" s="19"/>
      <c r="D303" s="46"/>
      <c r="E303" s="46"/>
      <c r="F303" s="19"/>
      <c r="G303" s="19"/>
    </row>
    <row r="304" spans="2:7" ht="15" customHeight="1" x14ac:dyDescent="0.25">
      <c r="B304" s="45"/>
      <c r="C304" s="19"/>
      <c r="D304" s="46"/>
      <c r="E304" s="46"/>
      <c r="F304" s="19"/>
      <c r="G304" s="19"/>
    </row>
    <row r="305" spans="2:7" ht="15" customHeight="1" x14ac:dyDescent="0.25">
      <c r="B305" s="45"/>
      <c r="C305" s="19"/>
      <c r="D305" s="46"/>
      <c r="E305" s="46"/>
      <c r="F305" s="19"/>
      <c r="G305" s="19"/>
    </row>
    <row r="306" spans="2:7" ht="15" customHeight="1" x14ac:dyDescent="0.25">
      <c r="B306" s="45"/>
      <c r="C306" s="19"/>
      <c r="D306" s="46"/>
      <c r="E306" s="46"/>
      <c r="F306" s="19"/>
      <c r="G306" s="19"/>
    </row>
    <row r="307" spans="2:7" ht="15" customHeight="1" x14ac:dyDescent="0.25">
      <c r="B307" s="45"/>
      <c r="C307" s="19"/>
      <c r="D307" s="46"/>
      <c r="E307" s="46"/>
      <c r="F307" s="19"/>
      <c r="G307" s="19"/>
    </row>
    <row r="308" spans="2:7" ht="15" customHeight="1" x14ac:dyDescent="0.25">
      <c r="B308" s="45"/>
      <c r="C308" s="19"/>
      <c r="D308" s="46"/>
      <c r="E308" s="46"/>
      <c r="F308" s="19"/>
      <c r="G308" s="19"/>
    </row>
    <row r="309" spans="2:7" ht="15" customHeight="1" x14ac:dyDescent="0.25">
      <c r="B309" s="45"/>
      <c r="C309" s="19"/>
      <c r="D309" s="46"/>
      <c r="E309" s="46"/>
      <c r="F309" s="19"/>
      <c r="G309" s="19"/>
    </row>
    <row r="310" spans="2:7" ht="15" customHeight="1" x14ac:dyDescent="0.25">
      <c r="B310" s="45"/>
      <c r="C310" s="19"/>
      <c r="D310" s="46"/>
      <c r="E310" s="46"/>
      <c r="F310" s="19"/>
      <c r="G310" s="19"/>
    </row>
    <row r="311" spans="2:7" ht="15" customHeight="1" x14ac:dyDescent="0.25">
      <c r="B311" s="45"/>
      <c r="C311" s="19"/>
      <c r="D311" s="46"/>
      <c r="E311" s="46"/>
      <c r="F311" s="19"/>
      <c r="G311" s="19"/>
    </row>
    <row r="312" spans="2:7" ht="15" customHeight="1" x14ac:dyDescent="0.25">
      <c r="B312" s="45"/>
      <c r="C312" s="19"/>
      <c r="D312" s="46"/>
      <c r="E312" s="46"/>
      <c r="F312" s="19"/>
      <c r="G312" s="19"/>
    </row>
    <row r="313" spans="2:7" ht="15" customHeight="1" x14ac:dyDescent="0.25">
      <c r="B313" s="45"/>
      <c r="C313" s="19"/>
      <c r="D313" s="46"/>
      <c r="E313" s="46"/>
      <c r="F313" s="19"/>
      <c r="G313" s="19"/>
    </row>
    <row r="314" spans="2:7" ht="15" customHeight="1" x14ac:dyDescent="0.25">
      <c r="B314" s="45"/>
      <c r="C314" s="19"/>
      <c r="D314" s="46"/>
      <c r="E314" s="46"/>
      <c r="F314" s="19"/>
      <c r="G314" s="19"/>
    </row>
    <row r="315" spans="2:7" ht="15" customHeight="1" x14ac:dyDescent="0.25">
      <c r="B315" s="45"/>
      <c r="C315" s="19"/>
      <c r="D315" s="46"/>
      <c r="E315" s="46"/>
      <c r="F315" s="19"/>
      <c r="G315" s="19"/>
    </row>
    <row r="316" spans="2:7" ht="15" customHeight="1" x14ac:dyDescent="0.25">
      <c r="B316" s="45"/>
      <c r="C316" s="19"/>
      <c r="D316" s="46"/>
      <c r="E316" s="46"/>
      <c r="F316" s="19"/>
      <c r="G316" s="19"/>
    </row>
    <row r="317" spans="2:7" ht="15" customHeight="1" x14ac:dyDescent="0.25">
      <c r="B317" s="45"/>
      <c r="C317" s="19"/>
      <c r="D317" s="46"/>
      <c r="E317" s="46"/>
      <c r="F317" s="19"/>
      <c r="G317" s="19"/>
    </row>
    <row r="318" spans="2:7" ht="15" customHeight="1" x14ac:dyDescent="0.25">
      <c r="B318" s="45"/>
      <c r="C318" s="19"/>
      <c r="D318" s="46"/>
      <c r="E318" s="46"/>
      <c r="F318" s="19"/>
      <c r="G318" s="19"/>
    </row>
    <row r="319" spans="2:7" ht="15" customHeight="1" x14ac:dyDescent="0.25">
      <c r="B319" s="45"/>
      <c r="C319" s="19"/>
      <c r="D319" s="46"/>
      <c r="E319" s="46"/>
      <c r="F319" s="19"/>
      <c r="G319" s="19"/>
    </row>
    <row r="320" spans="2:7" ht="15" customHeight="1" x14ac:dyDescent="0.25">
      <c r="B320" s="45"/>
      <c r="C320" s="19"/>
      <c r="D320" s="46"/>
      <c r="E320" s="46"/>
      <c r="F320" s="19"/>
      <c r="G320" s="19"/>
    </row>
    <row r="321" spans="2:7" ht="15" customHeight="1" x14ac:dyDescent="0.25">
      <c r="B321" s="45"/>
      <c r="C321" s="19"/>
      <c r="D321" s="46"/>
      <c r="E321" s="46"/>
      <c r="F321" s="19"/>
      <c r="G321" s="19"/>
    </row>
    <row r="322" spans="2:7" ht="15" customHeight="1" x14ac:dyDescent="0.25">
      <c r="B322" s="45"/>
      <c r="C322" s="19"/>
      <c r="D322" s="46"/>
      <c r="E322" s="46"/>
      <c r="F322" s="19"/>
      <c r="G322" s="19"/>
    </row>
    <row r="323" spans="2:7" ht="15" customHeight="1" x14ac:dyDescent="0.25">
      <c r="B323" s="45"/>
      <c r="C323" s="19"/>
      <c r="D323" s="46"/>
      <c r="E323" s="46"/>
      <c r="F323" s="19"/>
      <c r="G323" s="19"/>
    </row>
    <row r="324" spans="2:7" ht="15" customHeight="1" x14ac:dyDescent="0.25">
      <c r="B324" s="45"/>
      <c r="C324" s="19"/>
      <c r="D324" s="46"/>
      <c r="E324" s="46"/>
      <c r="F324" s="19"/>
      <c r="G324" s="19"/>
    </row>
    <row r="325" spans="2:7" ht="15" customHeight="1" x14ac:dyDescent="0.25">
      <c r="B325" s="45"/>
      <c r="C325" s="19"/>
      <c r="D325" s="46"/>
      <c r="E325" s="46"/>
      <c r="F325" s="19"/>
      <c r="G325" s="19"/>
    </row>
    <row r="326" spans="2:7" ht="15" customHeight="1" x14ac:dyDescent="0.25">
      <c r="B326" s="45"/>
      <c r="C326" s="19"/>
      <c r="D326" s="46"/>
      <c r="E326" s="46"/>
      <c r="F326" s="19"/>
      <c r="G326" s="19"/>
    </row>
    <row r="327" spans="2:7" ht="15" customHeight="1" x14ac:dyDescent="0.25">
      <c r="B327" s="45"/>
      <c r="C327" s="19"/>
      <c r="D327" s="46"/>
      <c r="E327" s="46"/>
      <c r="F327" s="19"/>
      <c r="G327" s="19"/>
    </row>
    <row r="328" spans="2:7" ht="15" customHeight="1" x14ac:dyDescent="0.25">
      <c r="B328" s="45"/>
      <c r="C328" s="19"/>
      <c r="D328" s="46"/>
      <c r="E328" s="46"/>
      <c r="F328" s="19"/>
      <c r="G328" s="19"/>
    </row>
    <row r="329" spans="2:7" ht="15" customHeight="1" x14ac:dyDescent="0.25">
      <c r="B329" s="45"/>
      <c r="C329" s="19"/>
      <c r="D329" s="46"/>
      <c r="E329" s="46"/>
      <c r="F329" s="19"/>
      <c r="G329" s="19"/>
    </row>
    <row r="330" spans="2:7" ht="15" customHeight="1" x14ac:dyDescent="0.25">
      <c r="B330" s="45"/>
      <c r="C330" s="19"/>
      <c r="D330" s="46"/>
      <c r="E330" s="46"/>
      <c r="F330" s="19"/>
      <c r="G330" s="19"/>
    </row>
    <row r="331" spans="2:7" ht="15" customHeight="1" x14ac:dyDescent="0.25">
      <c r="B331" s="45"/>
      <c r="C331" s="19"/>
      <c r="D331" s="46"/>
      <c r="E331" s="46"/>
      <c r="F331" s="19"/>
      <c r="G331" s="19"/>
    </row>
    <row r="332" spans="2:7" ht="15" customHeight="1" x14ac:dyDescent="0.25">
      <c r="B332" s="45"/>
      <c r="C332" s="19"/>
      <c r="D332" s="46"/>
      <c r="E332" s="46"/>
      <c r="F332" s="19"/>
      <c r="G332" s="19"/>
    </row>
    <row r="333" spans="2:7" ht="15" customHeight="1" x14ac:dyDescent="0.25">
      <c r="B333" s="45"/>
      <c r="C333" s="19"/>
      <c r="D333" s="46"/>
      <c r="E333" s="46"/>
      <c r="F333" s="19"/>
      <c r="G333" s="19"/>
    </row>
    <row r="334" spans="2:7" ht="15" customHeight="1" x14ac:dyDescent="0.25">
      <c r="B334" s="45"/>
      <c r="C334" s="19"/>
      <c r="D334" s="46"/>
      <c r="E334" s="46"/>
      <c r="F334" s="19"/>
      <c r="G334" s="19"/>
    </row>
    <row r="335" spans="2:7" ht="15" customHeight="1" x14ac:dyDescent="0.25">
      <c r="B335" s="45"/>
      <c r="C335" s="19"/>
      <c r="D335" s="46"/>
      <c r="E335" s="46"/>
      <c r="F335" s="19"/>
      <c r="G335" s="19"/>
    </row>
    <row r="336" spans="2:7" ht="15" customHeight="1" x14ac:dyDescent="0.25">
      <c r="B336" s="45"/>
      <c r="C336" s="19"/>
      <c r="D336" s="46"/>
      <c r="E336" s="46"/>
      <c r="F336" s="19"/>
      <c r="G336" s="19"/>
    </row>
    <row r="337" spans="2:7" ht="15" customHeight="1" x14ac:dyDescent="0.25">
      <c r="B337" s="45"/>
      <c r="C337" s="19"/>
      <c r="D337" s="46"/>
      <c r="E337" s="46"/>
      <c r="F337" s="19"/>
      <c r="G337" s="19"/>
    </row>
    <row r="338" spans="2:7" ht="15" customHeight="1" x14ac:dyDescent="0.25">
      <c r="B338" s="45"/>
      <c r="C338" s="19"/>
      <c r="D338" s="46"/>
      <c r="E338" s="46"/>
      <c r="F338" s="19"/>
      <c r="G338" s="19"/>
    </row>
    <row r="339" spans="2:7" ht="15" customHeight="1" x14ac:dyDescent="0.25">
      <c r="B339" s="45"/>
      <c r="C339" s="19"/>
      <c r="D339" s="46"/>
      <c r="E339" s="46"/>
      <c r="F339" s="19"/>
      <c r="G339" s="19"/>
    </row>
    <row r="340" spans="2:7" ht="15" customHeight="1" x14ac:dyDescent="0.25">
      <c r="B340" s="45"/>
      <c r="C340" s="19"/>
      <c r="D340" s="46"/>
      <c r="E340" s="46"/>
      <c r="F340" s="19"/>
      <c r="G340" s="19"/>
    </row>
    <row r="341" spans="2:7" ht="15" customHeight="1" x14ac:dyDescent="0.25">
      <c r="B341" s="45"/>
      <c r="C341" s="19"/>
      <c r="D341" s="46"/>
      <c r="E341" s="46"/>
      <c r="F341" s="19"/>
      <c r="G341" s="19"/>
    </row>
    <row r="342" spans="2:7" ht="15" customHeight="1" x14ac:dyDescent="0.25">
      <c r="B342" s="45"/>
      <c r="C342" s="19"/>
      <c r="D342" s="46"/>
      <c r="E342" s="46"/>
      <c r="F342" s="19"/>
      <c r="G342" s="19"/>
    </row>
    <row r="343" spans="2:7" ht="15" customHeight="1" x14ac:dyDescent="0.25">
      <c r="B343" s="45"/>
      <c r="C343" s="19"/>
      <c r="D343" s="46"/>
      <c r="E343" s="46"/>
      <c r="F343" s="19"/>
      <c r="G343" s="19"/>
    </row>
    <row r="344" spans="2:7" ht="15" customHeight="1" x14ac:dyDescent="0.25">
      <c r="B344" s="45"/>
      <c r="C344" s="19"/>
      <c r="D344" s="46"/>
      <c r="E344" s="46"/>
      <c r="F344" s="19"/>
      <c r="G344" s="19"/>
    </row>
    <row r="345" spans="2:7" ht="15" customHeight="1" x14ac:dyDescent="0.25">
      <c r="B345" s="45"/>
      <c r="C345" s="19"/>
      <c r="D345" s="46"/>
      <c r="E345" s="46"/>
      <c r="F345" s="19"/>
      <c r="G345" s="19"/>
    </row>
    <row r="346" spans="2:7" ht="15" customHeight="1" x14ac:dyDescent="0.25">
      <c r="B346" s="45"/>
      <c r="C346" s="19"/>
      <c r="D346" s="46"/>
      <c r="E346" s="46"/>
      <c r="F346" s="19"/>
      <c r="G346" s="19"/>
    </row>
    <row r="347" spans="2:7" ht="15" customHeight="1" x14ac:dyDescent="0.25">
      <c r="B347" s="45"/>
      <c r="C347" s="19"/>
      <c r="D347" s="46"/>
      <c r="E347" s="46"/>
      <c r="F347" s="19"/>
      <c r="G347" s="19"/>
    </row>
    <row r="348" spans="2:7" ht="15" customHeight="1" x14ac:dyDescent="0.25">
      <c r="B348" s="45"/>
      <c r="C348" s="19"/>
      <c r="D348" s="46"/>
      <c r="E348" s="46"/>
      <c r="F348" s="19"/>
      <c r="G348" s="19"/>
    </row>
    <row r="349" spans="2:7" ht="15" customHeight="1" x14ac:dyDescent="0.25">
      <c r="B349" s="45"/>
      <c r="C349" s="19"/>
      <c r="D349" s="46"/>
      <c r="E349" s="46"/>
      <c r="F349" s="19"/>
      <c r="G349" s="19"/>
    </row>
    <row r="350" spans="2:7" ht="15" customHeight="1" x14ac:dyDescent="0.25">
      <c r="B350" s="45"/>
      <c r="C350" s="19"/>
      <c r="D350" s="46"/>
      <c r="E350" s="46"/>
      <c r="F350" s="19"/>
      <c r="G350" s="19"/>
    </row>
    <row r="351" spans="2:7" ht="15" customHeight="1" x14ac:dyDescent="0.25">
      <c r="B351" s="45"/>
      <c r="C351" s="19"/>
      <c r="D351" s="46"/>
      <c r="E351" s="46"/>
      <c r="F351" s="19"/>
      <c r="G351" s="19"/>
    </row>
    <row r="352" spans="2:7" ht="15" customHeight="1" x14ac:dyDescent="0.25">
      <c r="B352" s="45"/>
      <c r="C352" s="19"/>
      <c r="D352" s="46"/>
      <c r="E352" s="46"/>
      <c r="F352" s="19"/>
      <c r="G352" s="19"/>
    </row>
    <row r="353" spans="2:7" ht="15" customHeight="1" x14ac:dyDescent="0.25">
      <c r="B353" s="45"/>
      <c r="C353" s="19"/>
      <c r="D353" s="46"/>
      <c r="E353" s="46"/>
      <c r="F353" s="19"/>
      <c r="G353" s="19"/>
    </row>
    <row r="354" spans="2:7" ht="15" customHeight="1" x14ac:dyDescent="0.25">
      <c r="B354" s="45"/>
      <c r="C354" s="19"/>
      <c r="D354" s="46"/>
      <c r="E354" s="46"/>
      <c r="F354" s="19"/>
      <c r="G354" s="19"/>
    </row>
    <row r="355" spans="2:7" ht="15" customHeight="1" x14ac:dyDescent="0.25">
      <c r="B355" s="45"/>
      <c r="C355" s="19"/>
      <c r="D355" s="46"/>
      <c r="E355" s="46"/>
      <c r="F355" s="19"/>
      <c r="G355" s="19"/>
    </row>
    <row r="356" spans="2:7" ht="15" customHeight="1" x14ac:dyDescent="0.25">
      <c r="B356" s="45"/>
      <c r="C356" s="19"/>
      <c r="D356" s="46"/>
      <c r="E356" s="46"/>
      <c r="F356" s="19"/>
      <c r="G356" s="19"/>
    </row>
    <row r="357" spans="2:7" ht="15" customHeight="1" x14ac:dyDescent="0.25">
      <c r="B357" s="45"/>
      <c r="C357" s="19"/>
      <c r="D357" s="46"/>
      <c r="E357" s="46"/>
      <c r="F357" s="19"/>
      <c r="G357" s="19"/>
    </row>
    <row r="358" spans="2:7" ht="15" customHeight="1" x14ac:dyDescent="0.25">
      <c r="B358" s="45"/>
      <c r="C358" s="19"/>
      <c r="D358" s="46"/>
      <c r="E358" s="46"/>
      <c r="F358" s="19"/>
      <c r="G358" s="19"/>
    </row>
    <row r="359" spans="2:7" ht="15" customHeight="1" x14ac:dyDescent="0.25">
      <c r="B359" s="45"/>
      <c r="C359" s="19"/>
      <c r="D359" s="46"/>
      <c r="E359" s="46"/>
      <c r="F359" s="19"/>
      <c r="G359" s="19"/>
    </row>
    <row r="360" spans="2:7" ht="15" customHeight="1" x14ac:dyDescent="0.25">
      <c r="B360" s="45"/>
      <c r="C360" s="19"/>
      <c r="D360" s="46"/>
      <c r="E360" s="46"/>
      <c r="F360" s="19"/>
      <c r="G360" s="19"/>
    </row>
    <row r="361" spans="2:7" ht="15" customHeight="1" x14ac:dyDescent="0.25">
      <c r="B361" s="45"/>
      <c r="C361" s="19"/>
      <c r="D361" s="46"/>
      <c r="E361" s="46"/>
      <c r="F361" s="19"/>
      <c r="G361" s="19"/>
    </row>
    <row r="362" spans="2:7" ht="15" customHeight="1" x14ac:dyDescent="0.25">
      <c r="B362" s="45"/>
      <c r="C362" s="19"/>
      <c r="D362" s="46"/>
      <c r="E362" s="46"/>
      <c r="F362" s="19"/>
      <c r="G362" s="19"/>
    </row>
    <row r="363" spans="2:7" ht="15" customHeight="1" x14ac:dyDescent="0.25">
      <c r="B363" s="45"/>
      <c r="C363" s="19"/>
      <c r="D363" s="46"/>
      <c r="E363" s="46"/>
      <c r="F363" s="19"/>
      <c r="G363" s="19"/>
    </row>
    <row r="364" spans="2:7" ht="15" customHeight="1" x14ac:dyDescent="0.25">
      <c r="B364" s="45"/>
      <c r="C364" s="19"/>
      <c r="D364" s="46"/>
      <c r="E364" s="46"/>
      <c r="F364" s="19"/>
      <c r="G364" s="19"/>
    </row>
    <row r="365" spans="2:7" ht="15" customHeight="1" x14ac:dyDescent="0.25">
      <c r="B365" s="45"/>
      <c r="C365" s="19"/>
      <c r="D365" s="46"/>
      <c r="E365" s="46"/>
      <c r="F365" s="19"/>
      <c r="G365" s="19"/>
    </row>
    <row r="366" spans="2:7" ht="15" customHeight="1" x14ac:dyDescent="0.25">
      <c r="B366" s="45"/>
      <c r="C366" s="19"/>
      <c r="D366" s="46"/>
      <c r="E366" s="46"/>
      <c r="F366" s="19"/>
      <c r="G366" s="19"/>
    </row>
    <row r="367" spans="2:7" ht="15" customHeight="1" x14ac:dyDescent="0.25">
      <c r="B367" s="45"/>
      <c r="C367" s="19"/>
      <c r="D367" s="46"/>
      <c r="E367" s="46"/>
      <c r="F367" s="19"/>
      <c r="G367" s="19"/>
    </row>
    <row r="368" spans="2:7" ht="15" customHeight="1" x14ac:dyDescent="0.25">
      <c r="B368" s="45"/>
      <c r="C368" s="19"/>
      <c r="D368" s="46"/>
      <c r="E368" s="46"/>
      <c r="F368" s="19"/>
      <c r="G368" s="19"/>
    </row>
    <row r="369" spans="2:7" ht="15" customHeight="1" x14ac:dyDescent="0.25">
      <c r="B369" s="45"/>
      <c r="C369" s="19"/>
      <c r="D369" s="46"/>
      <c r="E369" s="46"/>
      <c r="F369" s="19"/>
      <c r="G369" s="19"/>
    </row>
    <row r="370" spans="2:7" ht="15" customHeight="1" x14ac:dyDescent="0.25">
      <c r="B370" s="45"/>
      <c r="C370" s="19"/>
      <c r="D370" s="46"/>
      <c r="E370" s="46"/>
      <c r="F370" s="19"/>
      <c r="G370" s="19"/>
    </row>
    <row r="371" spans="2:7" ht="15" customHeight="1" x14ac:dyDescent="0.25">
      <c r="B371" s="45"/>
      <c r="C371" s="19"/>
      <c r="D371" s="46"/>
      <c r="E371" s="46"/>
      <c r="F371" s="19"/>
      <c r="G371" s="19"/>
    </row>
    <row r="372" spans="2:7" ht="15" customHeight="1" x14ac:dyDescent="0.25">
      <c r="B372" s="45"/>
      <c r="C372" s="19"/>
      <c r="D372" s="46"/>
      <c r="E372" s="46"/>
      <c r="F372" s="19"/>
      <c r="G372" s="19"/>
    </row>
    <row r="373" spans="2:7" ht="15" customHeight="1" x14ac:dyDescent="0.25">
      <c r="B373" s="45"/>
      <c r="C373" s="19"/>
      <c r="D373" s="46"/>
      <c r="E373" s="46"/>
      <c r="F373" s="19"/>
      <c r="G373" s="19"/>
    </row>
    <row r="374" spans="2:7" ht="15" customHeight="1" x14ac:dyDescent="0.25">
      <c r="B374" s="45"/>
      <c r="C374" s="19"/>
      <c r="D374" s="46"/>
      <c r="E374" s="46"/>
      <c r="F374" s="19"/>
      <c r="G374" s="19"/>
    </row>
    <row r="375" spans="2:7" ht="15" customHeight="1" x14ac:dyDescent="0.25">
      <c r="B375" s="45"/>
      <c r="C375" s="19"/>
      <c r="D375" s="46"/>
      <c r="E375" s="46"/>
      <c r="F375" s="19"/>
      <c r="G375" s="19"/>
    </row>
    <row r="376" spans="2:7" ht="15" customHeight="1" x14ac:dyDescent="0.25">
      <c r="B376" s="45"/>
      <c r="C376" s="19"/>
      <c r="D376" s="46"/>
      <c r="E376" s="46"/>
      <c r="F376" s="19"/>
      <c r="G376" s="19"/>
    </row>
    <row r="377" spans="2:7" ht="15" customHeight="1" x14ac:dyDescent="0.25">
      <c r="B377" s="45"/>
      <c r="C377" s="19"/>
      <c r="D377" s="46"/>
      <c r="E377" s="46"/>
      <c r="F377" s="19"/>
      <c r="G377" s="19"/>
    </row>
    <row r="378" spans="2:7" ht="15" customHeight="1" x14ac:dyDescent="0.25">
      <c r="B378" s="45"/>
      <c r="C378" s="19"/>
      <c r="D378" s="46"/>
      <c r="E378" s="46"/>
      <c r="F378" s="19"/>
      <c r="G378" s="19"/>
    </row>
    <row r="379" spans="2:7" ht="15" customHeight="1" x14ac:dyDescent="0.25">
      <c r="B379" s="45"/>
      <c r="C379" s="19"/>
      <c r="D379" s="46"/>
      <c r="E379" s="46"/>
      <c r="F379" s="19"/>
      <c r="G379" s="19"/>
    </row>
    <row r="380" spans="2:7" ht="15" customHeight="1" x14ac:dyDescent="0.25">
      <c r="B380" s="45"/>
      <c r="C380" s="19"/>
      <c r="D380" s="46"/>
      <c r="E380" s="46"/>
      <c r="F380" s="19"/>
      <c r="G380" s="19"/>
    </row>
    <row r="381" spans="2:7" ht="15" customHeight="1" x14ac:dyDescent="0.25">
      <c r="B381" s="45"/>
      <c r="C381" s="19"/>
      <c r="D381" s="46"/>
      <c r="E381" s="46"/>
      <c r="F381" s="19"/>
      <c r="G381" s="19"/>
    </row>
    <row r="382" spans="2:7" ht="15" customHeight="1" x14ac:dyDescent="0.25">
      <c r="B382" s="45"/>
      <c r="C382" s="19"/>
      <c r="D382" s="46"/>
      <c r="E382" s="46"/>
      <c r="F382" s="19"/>
      <c r="G382" s="19"/>
    </row>
    <row r="383" spans="2:7" ht="15" customHeight="1" x14ac:dyDescent="0.25">
      <c r="B383" s="45"/>
      <c r="C383" s="19"/>
      <c r="D383" s="46"/>
      <c r="E383" s="46"/>
      <c r="F383" s="19"/>
      <c r="G383" s="19"/>
    </row>
    <row r="384" spans="2:7" ht="15" customHeight="1" x14ac:dyDescent="0.25">
      <c r="B384" s="45"/>
      <c r="C384" s="19"/>
      <c r="D384" s="46"/>
      <c r="E384" s="46"/>
      <c r="F384" s="19"/>
      <c r="G384" s="19"/>
    </row>
    <row r="385" spans="2:7" ht="15" customHeight="1" x14ac:dyDescent="0.25">
      <c r="B385" s="45"/>
      <c r="C385" s="19"/>
      <c r="D385" s="46"/>
      <c r="E385" s="46"/>
      <c r="F385" s="19"/>
      <c r="G385" s="19"/>
    </row>
    <row r="386" spans="2:7" ht="15" customHeight="1" x14ac:dyDescent="0.25">
      <c r="B386" s="45"/>
      <c r="C386" s="19"/>
      <c r="D386" s="46"/>
      <c r="E386" s="46"/>
      <c r="F386" s="19"/>
      <c r="G386" s="19"/>
    </row>
    <row r="387" spans="2:7" ht="15" customHeight="1" x14ac:dyDescent="0.25">
      <c r="B387" s="45"/>
      <c r="C387" s="19"/>
      <c r="D387" s="46"/>
      <c r="E387" s="46"/>
      <c r="F387" s="19"/>
      <c r="G387" s="19"/>
    </row>
    <row r="388" spans="2:7" ht="15" customHeight="1" x14ac:dyDescent="0.25">
      <c r="B388" s="45"/>
      <c r="C388" s="19"/>
      <c r="D388" s="46"/>
      <c r="E388" s="46"/>
      <c r="F388" s="19"/>
      <c r="G388" s="19"/>
    </row>
    <row r="389" spans="2:7" ht="15" customHeight="1" x14ac:dyDescent="0.25">
      <c r="B389" s="45"/>
      <c r="C389" s="19"/>
      <c r="D389" s="46"/>
      <c r="E389" s="46"/>
      <c r="F389" s="19"/>
      <c r="G389" s="19"/>
    </row>
    <row r="390" spans="2:7" ht="15" customHeight="1" x14ac:dyDescent="0.25">
      <c r="B390" s="45"/>
      <c r="C390" s="19"/>
      <c r="D390" s="46"/>
      <c r="E390" s="46"/>
      <c r="F390" s="19"/>
      <c r="G390" s="19"/>
    </row>
    <row r="391" spans="2:7" ht="15" customHeight="1" x14ac:dyDescent="0.25">
      <c r="B391" s="45"/>
      <c r="C391" s="19"/>
      <c r="D391" s="46"/>
      <c r="E391" s="46"/>
      <c r="F391" s="19"/>
      <c r="G391" s="19"/>
    </row>
    <row r="392" spans="2:7" ht="15" customHeight="1" x14ac:dyDescent="0.25">
      <c r="B392" s="45"/>
      <c r="C392" s="19"/>
      <c r="D392" s="46"/>
      <c r="E392" s="46"/>
      <c r="F392" s="19"/>
      <c r="G392" s="19"/>
    </row>
    <row r="393" spans="2:7" ht="15" customHeight="1" x14ac:dyDescent="0.25">
      <c r="B393" s="45"/>
      <c r="C393" s="19"/>
      <c r="D393" s="46"/>
      <c r="E393" s="46"/>
      <c r="F393" s="19"/>
      <c r="G393" s="19"/>
    </row>
    <row r="394" spans="2:7" ht="15" customHeight="1" x14ac:dyDescent="0.25">
      <c r="B394" s="45"/>
      <c r="C394" s="19"/>
      <c r="D394" s="46"/>
      <c r="E394" s="46"/>
      <c r="F394" s="19"/>
      <c r="G394" s="19"/>
    </row>
    <row r="395" spans="2:7" ht="15" customHeight="1" x14ac:dyDescent="0.25">
      <c r="B395" s="45"/>
      <c r="C395" s="19"/>
      <c r="D395" s="46"/>
      <c r="E395" s="46"/>
      <c r="F395" s="19"/>
      <c r="G395" s="19"/>
    </row>
    <row r="396" spans="2:7" ht="15" customHeight="1" x14ac:dyDescent="0.25">
      <c r="B396" s="45"/>
      <c r="C396" s="19"/>
      <c r="D396" s="46"/>
      <c r="E396" s="46"/>
      <c r="F396" s="19"/>
      <c r="G396" s="19"/>
    </row>
    <row r="397" spans="2:7" ht="15" customHeight="1" x14ac:dyDescent="0.25">
      <c r="B397" s="45"/>
      <c r="C397" s="19"/>
      <c r="D397" s="46"/>
      <c r="E397" s="46"/>
      <c r="F397" s="19"/>
      <c r="G397" s="19"/>
    </row>
    <row r="398" spans="2:7" ht="15" customHeight="1" x14ac:dyDescent="0.25">
      <c r="B398" s="45"/>
      <c r="C398" s="19"/>
      <c r="D398" s="46"/>
      <c r="E398" s="46"/>
      <c r="F398" s="19"/>
      <c r="G398" s="19"/>
    </row>
    <row r="399" spans="2:7" ht="15" customHeight="1" x14ac:dyDescent="0.25">
      <c r="B399" s="45"/>
      <c r="C399" s="19"/>
      <c r="D399" s="46"/>
      <c r="E399" s="46"/>
      <c r="F399" s="19"/>
      <c r="G399" s="19"/>
    </row>
    <row r="400" spans="2:7" ht="15" customHeight="1" x14ac:dyDescent="0.25">
      <c r="B400" s="45"/>
      <c r="C400" s="19"/>
      <c r="D400" s="46"/>
      <c r="E400" s="46"/>
      <c r="F400" s="19"/>
      <c r="G400" s="19"/>
    </row>
    <row r="401" spans="2:7" ht="15" customHeight="1" x14ac:dyDescent="0.25">
      <c r="B401" s="45"/>
      <c r="C401" s="19"/>
      <c r="D401" s="46"/>
      <c r="E401" s="46"/>
      <c r="F401" s="19"/>
      <c r="G401" s="19"/>
    </row>
    <row r="402" spans="2:7" ht="15" customHeight="1" x14ac:dyDescent="0.25">
      <c r="B402" s="45"/>
      <c r="C402" s="19"/>
      <c r="D402" s="46"/>
      <c r="E402" s="46"/>
      <c r="F402" s="19"/>
      <c r="G402" s="19"/>
    </row>
    <row r="403" spans="2:7" ht="15" customHeight="1" x14ac:dyDescent="0.25">
      <c r="B403" s="45"/>
      <c r="C403" s="19"/>
      <c r="D403" s="46"/>
      <c r="E403" s="46"/>
      <c r="F403" s="19"/>
      <c r="G403" s="19"/>
    </row>
    <row r="404" spans="2:7" ht="15" customHeight="1" x14ac:dyDescent="0.25">
      <c r="B404" s="45"/>
      <c r="C404" s="19"/>
      <c r="D404" s="46"/>
      <c r="E404" s="46"/>
      <c r="F404" s="19"/>
      <c r="G404" s="19"/>
    </row>
    <row r="405" spans="2:7" ht="15" customHeight="1" x14ac:dyDescent="0.25">
      <c r="B405" s="45"/>
      <c r="C405" s="19"/>
      <c r="D405" s="46"/>
      <c r="E405" s="46"/>
      <c r="F405" s="19"/>
      <c r="G405" s="19"/>
    </row>
    <row r="406" spans="2:7" ht="15" customHeight="1" x14ac:dyDescent="0.25">
      <c r="B406" s="45"/>
      <c r="C406" s="19"/>
      <c r="D406" s="46"/>
      <c r="E406" s="46"/>
      <c r="F406" s="19"/>
      <c r="G406" s="19"/>
    </row>
    <row r="407" spans="2:7" ht="15" customHeight="1" x14ac:dyDescent="0.25">
      <c r="B407" s="45"/>
      <c r="C407" s="19"/>
      <c r="D407" s="46"/>
      <c r="E407" s="46"/>
      <c r="F407" s="19"/>
      <c r="G407" s="19"/>
    </row>
    <row r="408" spans="2:7" ht="15" customHeight="1" x14ac:dyDescent="0.25">
      <c r="B408" s="45"/>
      <c r="C408" s="19"/>
      <c r="D408" s="46"/>
      <c r="E408" s="46"/>
      <c r="F408" s="19"/>
      <c r="G408" s="19"/>
    </row>
    <row r="409" spans="2:7" ht="15" customHeight="1" x14ac:dyDescent="0.25">
      <c r="B409" s="45"/>
      <c r="C409" s="19"/>
      <c r="D409" s="46"/>
      <c r="E409" s="46"/>
      <c r="F409" s="19"/>
      <c r="G409" s="19"/>
    </row>
    <row r="410" spans="2:7" ht="15" customHeight="1" x14ac:dyDescent="0.25">
      <c r="B410" s="45"/>
      <c r="C410" s="19"/>
      <c r="D410" s="46"/>
      <c r="E410" s="46"/>
      <c r="F410" s="19"/>
      <c r="G410" s="19"/>
    </row>
    <row r="411" spans="2:7" ht="15" customHeight="1" x14ac:dyDescent="0.25">
      <c r="B411" s="45"/>
      <c r="C411" s="19"/>
      <c r="D411" s="46"/>
      <c r="E411" s="46"/>
      <c r="F411" s="19"/>
      <c r="G411" s="19"/>
    </row>
    <row r="412" spans="2:7" ht="15" customHeight="1" x14ac:dyDescent="0.25">
      <c r="B412" s="45"/>
      <c r="C412" s="19"/>
      <c r="D412" s="46"/>
      <c r="E412" s="46"/>
      <c r="F412" s="19"/>
      <c r="G412" s="19"/>
    </row>
    <row r="413" spans="2:7" ht="15" customHeight="1" x14ac:dyDescent="0.25">
      <c r="B413" s="45"/>
      <c r="C413" s="19"/>
      <c r="D413" s="46"/>
      <c r="E413" s="46"/>
      <c r="F413" s="19"/>
      <c r="G413" s="19"/>
    </row>
    <row r="414" spans="2:7" ht="15" customHeight="1" x14ac:dyDescent="0.25">
      <c r="B414" s="45"/>
      <c r="C414" s="19"/>
      <c r="D414" s="46"/>
      <c r="E414" s="46"/>
      <c r="F414" s="19"/>
      <c r="G414" s="19"/>
    </row>
    <row r="415" spans="2:7" ht="15" customHeight="1" x14ac:dyDescent="0.25">
      <c r="B415" s="45"/>
      <c r="C415" s="19"/>
      <c r="D415" s="46"/>
      <c r="E415" s="46"/>
      <c r="F415" s="19"/>
      <c r="G415" s="19"/>
    </row>
    <row r="416" spans="2:7" ht="15" customHeight="1" x14ac:dyDescent="0.25">
      <c r="B416" s="45"/>
      <c r="C416" s="19"/>
      <c r="D416" s="46"/>
      <c r="E416" s="46"/>
      <c r="F416" s="19"/>
      <c r="G416" s="19"/>
    </row>
    <row r="417" spans="2:7" ht="15" customHeight="1" x14ac:dyDescent="0.25">
      <c r="B417" s="45"/>
      <c r="C417" s="19"/>
      <c r="D417" s="46"/>
      <c r="E417" s="46"/>
      <c r="F417" s="19"/>
      <c r="G417" s="19"/>
    </row>
    <row r="418" spans="2:7" ht="15" customHeight="1" x14ac:dyDescent="0.25">
      <c r="B418" s="45"/>
      <c r="C418" s="19"/>
      <c r="D418" s="46"/>
      <c r="E418" s="46"/>
      <c r="F418" s="19"/>
      <c r="G418" s="19"/>
    </row>
    <row r="419" spans="2:7" ht="15" customHeight="1" x14ac:dyDescent="0.25">
      <c r="B419" s="45"/>
      <c r="C419" s="19"/>
      <c r="D419" s="46"/>
      <c r="E419" s="46"/>
      <c r="F419" s="19"/>
      <c r="G419" s="19"/>
    </row>
    <row r="420" spans="2:7" ht="15" customHeight="1" x14ac:dyDescent="0.25">
      <c r="B420" s="45"/>
      <c r="C420" s="19"/>
      <c r="D420" s="46"/>
      <c r="E420" s="46"/>
      <c r="F420" s="19"/>
      <c r="G420" s="19"/>
    </row>
    <row r="421" spans="2:7" ht="15" customHeight="1" x14ac:dyDescent="0.25">
      <c r="B421" s="45"/>
      <c r="C421" s="19"/>
      <c r="D421" s="46"/>
      <c r="E421" s="46"/>
      <c r="F421" s="19"/>
      <c r="G421" s="19"/>
    </row>
    <row r="422" spans="2:7" ht="15" customHeight="1" x14ac:dyDescent="0.25">
      <c r="B422" s="45"/>
      <c r="C422" s="19"/>
      <c r="D422" s="46"/>
      <c r="E422" s="46"/>
      <c r="F422" s="19"/>
      <c r="G422" s="19"/>
    </row>
    <row r="423" spans="2:7" ht="15" customHeight="1" x14ac:dyDescent="0.25">
      <c r="B423" s="45"/>
      <c r="C423" s="19"/>
      <c r="D423" s="46"/>
      <c r="E423" s="46"/>
      <c r="F423" s="19"/>
      <c r="G423" s="19"/>
    </row>
    <row r="424" spans="2:7" ht="15" customHeight="1" x14ac:dyDescent="0.25">
      <c r="B424" s="45"/>
      <c r="C424" s="19"/>
      <c r="D424" s="46"/>
      <c r="E424" s="46"/>
      <c r="F424" s="19"/>
      <c r="G424" s="19"/>
    </row>
    <row r="425" spans="2:7" ht="15" customHeight="1" x14ac:dyDescent="0.25">
      <c r="B425" s="45"/>
      <c r="C425" s="19"/>
      <c r="D425" s="46"/>
      <c r="E425" s="46"/>
      <c r="F425" s="19"/>
      <c r="G425" s="19"/>
    </row>
    <row r="426" spans="2:7" ht="15" customHeight="1" x14ac:dyDescent="0.25">
      <c r="B426" s="45"/>
      <c r="C426" s="19"/>
      <c r="D426" s="46"/>
      <c r="E426" s="46"/>
      <c r="F426" s="19"/>
      <c r="G426" s="19"/>
    </row>
    <row r="427" spans="2:7" ht="15" customHeight="1" x14ac:dyDescent="0.25">
      <c r="B427" s="45"/>
      <c r="C427" s="19"/>
      <c r="D427" s="46"/>
      <c r="E427" s="46"/>
      <c r="F427" s="19"/>
      <c r="G427" s="19"/>
    </row>
    <row r="428" spans="2:7" ht="15" customHeight="1" x14ac:dyDescent="0.25">
      <c r="B428" s="45"/>
      <c r="C428" s="19"/>
      <c r="D428" s="46"/>
      <c r="E428" s="46"/>
      <c r="F428" s="19"/>
      <c r="G428" s="19"/>
    </row>
    <row r="429" spans="2:7" ht="15" customHeight="1" x14ac:dyDescent="0.25">
      <c r="B429" s="45"/>
      <c r="C429" s="19"/>
      <c r="D429" s="46"/>
      <c r="E429" s="46"/>
      <c r="F429" s="19"/>
      <c r="G429" s="19"/>
    </row>
    <row r="430" spans="2:7" ht="15" customHeight="1" x14ac:dyDescent="0.25">
      <c r="B430" s="45"/>
      <c r="C430" s="19"/>
      <c r="D430" s="46"/>
      <c r="E430" s="46"/>
      <c r="F430" s="19"/>
      <c r="G430" s="19"/>
    </row>
    <row r="431" spans="2:7" ht="15" customHeight="1" x14ac:dyDescent="0.25">
      <c r="B431" s="45"/>
      <c r="C431" s="19"/>
      <c r="D431" s="46"/>
      <c r="E431" s="46"/>
      <c r="F431" s="19"/>
      <c r="G431" s="19"/>
    </row>
    <row r="432" spans="2:7" ht="15" customHeight="1" x14ac:dyDescent="0.25">
      <c r="B432" s="45"/>
      <c r="C432" s="19"/>
      <c r="D432" s="46"/>
      <c r="E432" s="46"/>
      <c r="F432" s="19"/>
      <c r="G432" s="19"/>
    </row>
    <row r="433" spans="2:7" ht="15" customHeight="1" x14ac:dyDescent="0.25">
      <c r="B433" s="45"/>
      <c r="C433" s="19"/>
      <c r="D433" s="46"/>
      <c r="E433" s="46"/>
      <c r="F433" s="19"/>
      <c r="G433" s="19"/>
    </row>
    <row r="434" spans="2:7" ht="15" customHeight="1" x14ac:dyDescent="0.25">
      <c r="B434" s="45"/>
      <c r="C434" s="19"/>
      <c r="D434" s="46"/>
      <c r="E434" s="46"/>
      <c r="F434" s="19"/>
      <c r="G434" s="19"/>
    </row>
    <row r="435" spans="2:7" ht="15" customHeight="1" x14ac:dyDescent="0.25">
      <c r="B435" s="45"/>
      <c r="C435" s="19"/>
      <c r="D435" s="46"/>
      <c r="E435" s="46"/>
      <c r="F435" s="19"/>
      <c r="G435" s="19"/>
    </row>
    <row r="436" spans="2:7" ht="15" customHeight="1" x14ac:dyDescent="0.25">
      <c r="B436" s="45"/>
      <c r="C436" s="19"/>
      <c r="D436" s="46"/>
      <c r="E436" s="46"/>
      <c r="F436" s="19"/>
      <c r="G436" s="19"/>
    </row>
    <row r="437" spans="2:7" ht="15" customHeight="1" x14ac:dyDescent="0.25">
      <c r="B437" s="45"/>
      <c r="C437" s="19"/>
      <c r="D437" s="46"/>
      <c r="E437" s="46"/>
      <c r="F437" s="19"/>
      <c r="G437" s="19"/>
    </row>
    <row r="438" spans="2:7" ht="15" customHeight="1" x14ac:dyDescent="0.25">
      <c r="B438" s="45"/>
      <c r="C438" s="19"/>
      <c r="D438" s="46"/>
      <c r="E438" s="46"/>
      <c r="F438" s="19"/>
      <c r="G438" s="19"/>
    </row>
    <row r="439" spans="2:7" ht="15" customHeight="1" x14ac:dyDescent="0.25">
      <c r="B439" s="45"/>
      <c r="C439" s="19"/>
      <c r="D439" s="46"/>
      <c r="E439" s="46"/>
      <c r="F439" s="19"/>
      <c r="G439" s="19"/>
    </row>
    <row r="440" spans="2:7" ht="15" customHeight="1" x14ac:dyDescent="0.25">
      <c r="B440" s="45"/>
      <c r="C440" s="19"/>
      <c r="D440" s="46"/>
      <c r="E440" s="46"/>
      <c r="F440" s="19"/>
      <c r="G440" s="19"/>
    </row>
    <row r="441" spans="2:7" ht="15" customHeight="1" x14ac:dyDescent="0.25">
      <c r="B441" s="45"/>
      <c r="C441" s="19"/>
      <c r="D441" s="46"/>
      <c r="E441" s="46"/>
      <c r="F441" s="19"/>
      <c r="G441" s="19"/>
    </row>
    <row r="442" spans="2:7" ht="15" customHeight="1" x14ac:dyDescent="0.25">
      <c r="B442" s="45"/>
      <c r="C442" s="19"/>
      <c r="D442" s="46"/>
      <c r="E442" s="46"/>
      <c r="F442" s="19"/>
      <c r="G442" s="19"/>
    </row>
    <row r="443" spans="2:7" ht="15" customHeight="1" x14ac:dyDescent="0.25">
      <c r="B443" s="45"/>
      <c r="C443" s="19"/>
      <c r="D443" s="46"/>
      <c r="E443" s="46"/>
      <c r="F443" s="19"/>
      <c r="G443" s="19"/>
    </row>
    <row r="444" spans="2:7" ht="15" customHeight="1" x14ac:dyDescent="0.25">
      <c r="B444" s="45"/>
      <c r="C444" s="19"/>
      <c r="D444" s="46"/>
      <c r="E444" s="46"/>
      <c r="F444" s="19"/>
      <c r="G444" s="19"/>
    </row>
    <row r="445" spans="2:7" ht="15" customHeight="1" x14ac:dyDescent="0.25">
      <c r="B445" s="45"/>
      <c r="C445" s="19"/>
      <c r="D445" s="46"/>
      <c r="E445" s="46"/>
      <c r="F445" s="19"/>
      <c r="G445" s="19"/>
    </row>
    <row r="446" spans="2:7" ht="15" customHeight="1" x14ac:dyDescent="0.25">
      <c r="B446" s="45"/>
      <c r="C446" s="19"/>
      <c r="D446" s="46"/>
      <c r="E446" s="46"/>
      <c r="F446" s="19"/>
      <c r="G446" s="19"/>
    </row>
    <row r="447" spans="2:7" ht="15" customHeight="1" x14ac:dyDescent="0.25">
      <c r="B447" s="45"/>
      <c r="C447" s="19"/>
      <c r="D447" s="46"/>
      <c r="E447" s="46"/>
      <c r="F447" s="19"/>
      <c r="G447" s="19"/>
    </row>
    <row r="448" spans="2:7" ht="15" customHeight="1" x14ac:dyDescent="0.25">
      <c r="B448" s="45"/>
      <c r="C448" s="19"/>
      <c r="D448" s="46"/>
      <c r="E448" s="46"/>
      <c r="F448" s="19"/>
      <c r="G448" s="19"/>
    </row>
    <row r="449" spans="2:7" ht="15" customHeight="1" x14ac:dyDescent="0.25">
      <c r="B449" s="45"/>
      <c r="C449" s="19"/>
      <c r="D449" s="46"/>
      <c r="E449" s="46"/>
      <c r="F449" s="19"/>
      <c r="G449" s="19"/>
    </row>
    <row r="450" spans="2:7" ht="15" customHeight="1" x14ac:dyDescent="0.25">
      <c r="B450" s="45"/>
      <c r="C450" s="19"/>
      <c r="D450" s="46"/>
      <c r="E450" s="46"/>
      <c r="F450" s="19"/>
      <c r="G450" s="19"/>
    </row>
    <row r="451" spans="2:7" ht="15" customHeight="1" x14ac:dyDescent="0.25">
      <c r="B451" s="45"/>
      <c r="C451" s="19"/>
      <c r="D451" s="46"/>
      <c r="E451" s="46"/>
      <c r="F451" s="19"/>
      <c r="G451" s="19"/>
    </row>
    <row r="452" spans="2:7" ht="15" customHeight="1" x14ac:dyDescent="0.25">
      <c r="B452" s="45"/>
      <c r="C452" s="19"/>
      <c r="D452" s="46"/>
      <c r="E452" s="46"/>
      <c r="F452" s="19"/>
      <c r="G452" s="19"/>
    </row>
    <row r="453" spans="2:7" ht="15" customHeight="1" x14ac:dyDescent="0.25">
      <c r="B453" s="45"/>
      <c r="C453" s="19"/>
      <c r="D453" s="46"/>
      <c r="E453" s="46"/>
      <c r="F453" s="19"/>
      <c r="G453" s="19"/>
    </row>
    <row r="454" spans="2:7" ht="15" customHeight="1" x14ac:dyDescent="0.25">
      <c r="B454" s="45"/>
      <c r="C454" s="19"/>
      <c r="D454" s="46"/>
      <c r="E454" s="46"/>
      <c r="F454" s="19"/>
      <c r="G454" s="19"/>
    </row>
    <row r="455" spans="2:7" ht="15" customHeight="1" x14ac:dyDescent="0.25">
      <c r="B455" s="45"/>
      <c r="C455" s="19"/>
      <c r="D455" s="46"/>
      <c r="E455" s="46"/>
      <c r="F455" s="19"/>
      <c r="G455" s="19"/>
    </row>
    <row r="456" spans="2:7" ht="15" customHeight="1" x14ac:dyDescent="0.25">
      <c r="B456" s="45"/>
      <c r="C456" s="19"/>
      <c r="D456" s="46"/>
      <c r="E456" s="46"/>
      <c r="F456" s="19"/>
      <c r="G456" s="19"/>
    </row>
    <row r="457" spans="2:7" ht="15" customHeight="1" x14ac:dyDescent="0.25">
      <c r="B457" s="45"/>
      <c r="C457" s="19"/>
      <c r="D457" s="46"/>
      <c r="E457" s="46"/>
      <c r="F457" s="19"/>
      <c r="G457" s="19"/>
    </row>
    <row r="458" spans="2:7" ht="15" customHeight="1" x14ac:dyDescent="0.25">
      <c r="B458" s="45"/>
      <c r="C458" s="19"/>
      <c r="D458" s="46"/>
      <c r="E458" s="46"/>
      <c r="F458" s="19"/>
      <c r="G458" s="19"/>
    </row>
    <row r="459" spans="2:7" ht="15" customHeight="1" x14ac:dyDescent="0.25">
      <c r="B459" s="45"/>
      <c r="C459" s="19"/>
      <c r="D459" s="46"/>
      <c r="E459" s="46"/>
      <c r="F459" s="19"/>
      <c r="G459" s="19"/>
    </row>
    <row r="460" spans="2:7" ht="15" customHeight="1" x14ac:dyDescent="0.25">
      <c r="B460" s="45"/>
      <c r="C460" s="19"/>
      <c r="D460" s="46"/>
      <c r="E460" s="46"/>
      <c r="F460" s="19"/>
      <c r="G460" s="19"/>
    </row>
    <row r="461" spans="2:7" ht="15" customHeight="1" x14ac:dyDescent="0.25">
      <c r="B461" s="45"/>
      <c r="C461" s="19"/>
      <c r="D461" s="46"/>
      <c r="E461" s="46"/>
      <c r="F461" s="19"/>
      <c r="G461" s="19"/>
    </row>
    <row r="462" spans="2:7" ht="15" customHeight="1" x14ac:dyDescent="0.25">
      <c r="B462" s="45"/>
      <c r="C462" s="19"/>
      <c r="D462" s="46"/>
      <c r="E462" s="46"/>
      <c r="F462" s="19"/>
      <c r="G462" s="19"/>
    </row>
    <row r="463" spans="2:7" ht="15" customHeight="1" x14ac:dyDescent="0.25">
      <c r="B463" s="45"/>
      <c r="C463" s="19"/>
      <c r="D463" s="46"/>
      <c r="E463" s="46"/>
      <c r="F463" s="19"/>
      <c r="G463" s="19"/>
    </row>
    <row r="464" spans="2:7" ht="15" customHeight="1" x14ac:dyDescent="0.25">
      <c r="B464" s="45"/>
      <c r="C464" s="19"/>
      <c r="D464" s="46"/>
      <c r="E464" s="46"/>
      <c r="F464" s="19"/>
      <c r="G464" s="19"/>
    </row>
    <row r="465" spans="2:7" ht="15" customHeight="1" x14ac:dyDescent="0.25">
      <c r="B465" s="45"/>
      <c r="C465" s="19"/>
      <c r="D465" s="46"/>
      <c r="E465" s="46"/>
      <c r="F465" s="19"/>
      <c r="G465" s="19"/>
    </row>
    <row r="466" spans="2:7" ht="15" customHeight="1" x14ac:dyDescent="0.25">
      <c r="B466" s="45"/>
      <c r="C466" s="19"/>
      <c r="D466" s="46"/>
      <c r="E466" s="46"/>
      <c r="F466" s="19"/>
      <c r="G466" s="19"/>
    </row>
    <row r="467" spans="2:7" ht="15" customHeight="1" x14ac:dyDescent="0.25">
      <c r="B467" s="45"/>
      <c r="C467" s="19"/>
      <c r="D467" s="46"/>
      <c r="E467" s="46"/>
      <c r="F467" s="19"/>
      <c r="G467" s="19"/>
    </row>
    <row r="468" spans="2:7" ht="15" customHeight="1" x14ac:dyDescent="0.25">
      <c r="B468" s="45"/>
      <c r="C468" s="19"/>
      <c r="D468" s="46"/>
      <c r="E468" s="46"/>
      <c r="F468" s="19"/>
      <c r="G468" s="19"/>
    </row>
    <row r="469" spans="2:7" ht="15" customHeight="1" x14ac:dyDescent="0.25">
      <c r="B469" s="45"/>
      <c r="C469" s="19"/>
      <c r="D469" s="46"/>
      <c r="E469" s="46"/>
      <c r="F469" s="19"/>
      <c r="G469" s="19"/>
    </row>
    <row r="470" spans="2:7" ht="15" customHeight="1" x14ac:dyDescent="0.25">
      <c r="B470" s="45"/>
      <c r="C470" s="19"/>
      <c r="D470" s="46"/>
      <c r="E470" s="46"/>
      <c r="F470" s="19"/>
      <c r="G470" s="19"/>
    </row>
    <row r="471" spans="2:7" ht="15" customHeight="1" x14ac:dyDescent="0.25">
      <c r="B471" s="45"/>
      <c r="C471" s="19"/>
      <c r="D471" s="46"/>
      <c r="E471" s="46"/>
      <c r="F471" s="19"/>
      <c r="G471" s="19"/>
    </row>
    <row r="472" spans="2:7" ht="15" customHeight="1" x14ac:dyDescent="0.25">
      <c r="B472" s="45"/>
      <c r="C472" s="19"/>
      <c r="D472" s="46"/>
      <c r="E472" s="46"/>
      <c r="F472" s="19"/>
      <c r="G472" s="19"/>
    </row>
    <row r="473" spans="2:7" ht="15" customHeight="1" x14ac:dyDescent="0.25">
      <c r="B473" s="45"/>
      <c r="C473" s="19"/>
      <c r="D473" s="46"/>
      <c r="E473" s="46"/>
      <c r="F473" s="19"/>
      <c r="G473" s="19"/>
    </row>
    <row r="474" spans="2:7" ht="15" customHeight="1" x14ac:dyDescent="0.25">
      <c r="B474" s="45"/>
      <c r="C474" s="19"/>
      <c r="D474" s="46"/>
      <c r="E474" s="46"/>
      <c r="F474" s="19"/>
      <c r="G474" s="19"/>
    </row>
    <row r="475" spans="2:7" ht="15" customHeight="1" x14ac:dyDescent="0.25">
      <c r="B475" s="45"/>
      <c r="C475" s="19"/>
      <c r="D475" s="46"/>
      <c r="E475" s="46"/>
      <c r="F475" s="19"/>
      <c r="G475" s="19"/>
    </row>
    <row r="476" spans="2:7" ht="15" customHeight="1" x14ac:dyDescent="0.25">
      <c r="B476" s="45"/>
      <c r="C476" s="19"/>
      <c r="D476" s="46"/>
      <c r="E476" s="46"/>
      <c r="F476" s="19"/>
      <c r="G476" s="19"/>
    </row>
    <row r="477" spans="2:7" ht="15" customHeight="1" x14ac:dyDescent="0.25">
      <c r="B477" s="45"/>
      <c r="C477" s="19"/>
      <c r="D477" s="46"/>
      <c r="E477" s="46"/>
      <c r="F477" s="19"/>
      <c r="G477" s="19"/>
    </row>
    <row r="478" spans="2:7" ht="15" customHeight="1" x14ac:dyDescent="0.25">
      <c r="B478" s="45"/>
      <c r="C478" s="19"/>
      <c r="D478" s="46"/>
      <c r="E478" s="46"/>
      <c r="F478" s="19"/>
      <c r="G478" s="19"/>
    </row>
    <row r="479" spans="2:7" ht="15" customHeight="1" x14ac:dyDescent="0.25">
      <c r="B479" s="45"/>
      <c r="C479" s="19"/>
      <c r="D479" s="46"/>
      <c r="E479" s="46"/>
      <c r="F479" s="19"/>
      <c r="G479" s="19"/>
    </row>
    <row r="480" spans="2:7" ht="15" customHeight="1" x14ac:dyDescent="0.25">
      <c r="B480" s="45"/>
      <c r="C480" s="19"/>
      <c r="D480" s="46"/>
      <c r="E480" s="46"/>
      <c r="F480" s="19"/>
      <c r="G480" s="19"/>
    </row>
    <row r="481" spans="2:7" ht="15" customHeight="1" x14ac:dyDescent="0.25">
      <c r="B481" s="45"/>
      <c r="C481" s="19"/>
      <c r="D481" s="46"/>
      <c r="E481" s="46"/>
      <c r="F481" s="19"/>
      <c r="G481" s="19"/>
    </row>
    <row r="482" spans="2:7" ht="15" customHeight="1" x14ac:dyDescent="0.25">
      <c r="B482" s="45"/>
      <c r="C482" s="19"/>
      <c r="D482" s="46"/>
      <c r="E482" s="46"/>
      <c r="F482" s="19"/>
      <c r="G482" s="19"/>
    </row>
    <row r="483" spans="2:7" ht="15" customHeight="1" x14ac:dyDescent="0.25">
      <c r="B483" s="45"/>
      <c r="C483" s="19"/>
      <c r="D483" s="46"/>
      <c r="E483" s="46"/>
      <c r="F483" s="19"/>
      <c r="G483" s="19"/>
    </row>
    <row r="484" spans="2:7" ht="15" customHeight="1" x14ac:dyDescent="0.25">
      <c r="B484" s="45"/>
      <c r="C484" s="19"/>
      <c r="D484" s="46"/>
      <c r="E484" s="46"/>
      <c r="F484" s="19"/>
      <c r="G484" s="19"/>
    </row>
    <row r="485" spans="2:7" ht="15" customHeight="1" x14ac:dyDescent="0.25">
      <c r="B485" s="45"/>
      <c r="C485" s="19"/>
      <c r="D485" s="46"/>
      <c r="E485" s="46"/>
      <c r="F485" s="19"/>
      <c r="G485" s="19"/>
    </row>
    <row r="486" spans="2:7" ht="15" customHeight="1" x14ac:dyDescent="0.25">
      <c r="B486" s="45"/>
      <c r="C486" s="19"/>
      <c r="D486" s="46"/>
      <c r="E486" s="46"/>
      <c r="F486" s="19"/>
      <c r="G486" s="19"/>
    </row>
    <row r="487" spans="2:7" ht="15" customHeight="1" x14ac:dyDescent="0.25">
      <c r="B487" s="45"/>
      <c r="C487" s="19"/>
      <c r="D487" s="46"/>
      <c r="E487" s="46"/>
      <c r="F487" s="19"/>
      <c r="G487" s="19"/>
    </row>
    <row r="488" spans="2:7" ht="15" customHeight="1" x14ac:dyDescent="0.25">
      <c r="B488" s="45"/>
      <c r="C488" s="19"/>
      <c r="D488" s="46"/>
      <c r="E488" s="46"/>
      <c r="F488" s="19"/>
      <c r="G488" s="19"/>
    </row>
    <row r="489" spans="2:7" ht="15" customHeight="1" x14ac:dyDescent="0.25">
      <c r="B489" s="45"/>
      <c r="C489" s="19"/>
      <c r="D489" s="46"/>
      <c r="E489" s="46"/>
      <c r="F489" s="19"/>
      <c r="G489" s="19"/>
    </row>
    <row r="490" spans="2:7" ht="15" customHeight="1" x14ac:dyDescent="0.25">
      <c r="B490" s="45"/>
      <c r="C490" s="19"/>
      <c r="D490" s="46"/>
      <c r="E490" s="46"/>
      <c r="F490" s="19"/>
      <c r="G490" s="19"/>
    </row>
    <row r="491" spans="2:7" ht="15" customHeight="1" x14ac:dyDescent="0.25">
      <c r="B491" s="45"/>
      <c r="C491" s="19"/>
      <c r="D491" s="46"/>
      <c r="E491" s="46"/>
      <c r="F491" s="19"/>
      <c r="G491" s="19"/>
    </row>
    <row r="492" spans="2:7" ht="15" customHeight="1" x14ac:dyDescent="0.25">
      <c r="B492" s="45"/>
      <c r="C492" s="19"/>
      <c r="D492" s="46"/>
      <c r="E492" s="46"/>
      <c r="F492" s="19"/>
      <c r="G492" s="19"/>
    </row>
    <row r="493" spans="2:7" ht="15" customHeight="1" x14ac:dyDescent="0.25">
      <c r="B493" s="45"/>
      <c r="C493" s="19"/>
      <c r="D493" s="46"/>
      <c r="E493" s="46"/>
      <c r="F493" s="19"/>
      <c r="G493" s="19"/>
    </row>
    <row r="494" spans="2:7" ht="15" customHeight="1" x14ac:dyDescent="0.25">
      <c r="B494" s="45"/>
      <c r="C494" s="19"/>
      <c r="D494" s="46"/>
      <c r="E494" s="46"/>
      <c r="F494" s="19"/>
      <c r="G494" s="19"/>
    </row>
    <row r="495" spans="2:7" ht="15" customHeight="1" x14ac:dyDescent="0.25">
      <c r="B495" s="45"/>
      <c r="C495" s="19"/>
      <c r="D495" s="46"/>
      <c r="E495" s="46"/>
      <c r="F495" s="19"/>
      <c r="G495" s="19"/>
    </row>
    <row r="496" spans="2:7" ht="15" customHeight="1" x14ac:dyDescent="0.25">
      <c r="B496" s="45"/>
      <c r="C496" s="19"/>
      <c r="D496" s="46"/>
      <c r="E496" s="46"/>
      <c r="F496" s="19"/>
      <c r="G496" s="19"/>
    </row>
    <row r="497" spans="2:7" ht="15" customHeight="1" x14ac:dyDescent="0.25">
      <c r="B497" s="45"/>
      <c r="C497" s="19"/>
      <c r="D497" s="46"/>
      <c r="E497" s="46"/>
      <c r="F497" s="19"/>
      <c r="G497" s="19"/>
    </row>
    <row r="498" spans="2:7" ht="15" customHeight="1" x14ac:dyDescent="0.25">
      <c r="B498" s="45"/>
      <c r="C498" s="19"/>
      <c r="D498" s="46"/>
      <c r="E498" s="46"/>
      <c r="F498" s="19"/>
      <c r="G498" s="19"/>
    </row>
    <row r="499" spans="2:7" ht="15" customHeight="1" x14ac:dyDescent="0.25">
      <c r="B499" s="45"/>
      <c r="C499" s="19"/>
      <c r="D499" s="46"/>
      <c r="E499" s="46"/>
      <c r="F499" s="19"/>
      <c r="G499" s="19"/>
    </row>
    <row r="500" spans="2:7" ht="15" customHeight="1" x14ac:dyDescent="0.25">
      <c r="B500" s="45"/>
      <c r="C500" s="19"/>
      <c r="D500" s="46"/>
      <c r="E500" s="46"/>
      <c r="F500" s="19"/>
      <c r="G500" s="19"/>
    </row>
    <row r="501" spans="2:7" ht="15" customHeight="1" x14ac:dyDescent="0.25">
      <c r="B501" s="45"/>
      <c r="C501" s="19"/>
      <c r="D501" s="46"/>
      <c r="E501" s="46"/>
      <c r="F501" s="19"/>
      <c r="G501" s="19"/>
    </row>
    <row r="502" spans="2:7" ht="15" customHeight="1" x14ac:dyDescent="0.25">
      <c r="B502" s="45"/>
      <c r="C502" s="19"/>
      <c r="D502" s="46"/>
      <c r="E502" s="46"/>
      <c r="F502" s="19"/>
      <c r="G502" s="19"/>
    </row>
    <row r="503" spans="2:7" ht="15" customHeight="1" x14ac:dyDescent="0.25">
      <c r="B503" s="45"/>
      <c r="C503" s="19"/>
      <c r="D503" s="46"/>
      <c r="E503" s="46"/>
      <c r="F503" s="19"/>
      <c r="G503" s="19"/>
    </row>
    <row r="504" spans="2:7" ht="15" customHeight="1" x14ac:dyDescent="0.25">
      <c r="B504" s="45"/>
      <c r="C504" s="19"/>
      <c r="D504" s="46"/>
      <c r="E504" s="46"/>
      <c r="F504" s="19"/>
      <c r="G504" s="19"/>
    </row>
    <row r="505" spans="2:7" ht="15" customHeight="1" x14ac:dyDescent="0.25">
      <c r="B505" s="45"/>
      <c r="C505" s="19"/>
      <c r="D505" s="46"/>
      <c r="E505" s="46"/>
      <c r="F505" s="19"/>
      <c r="G505" s="19"/>
    </row>
    <row r="506" spans="2:7" ht="15" customHeight="1" x14ac:dyDescent="0.25">
      <c r="B506" s="45"/>
      <c r="C506" s="19"/>
      <c r="D506" s="46"/>
      <c r="E506" s="46"/>
      <c r="F506" s="19"/>
      <c r="G506" s="19"/>
    </row>
    <row r="507" spans="2:7" ht="15" customHeight="1" x14ac:dyDescent="0.25">
      <c r="B507" s="45"/>
      <c r="C507" s="19"/>
      <c r="D507" s="46"/>
      <c r="E507" s="46"/>
      <c r="F507" s="19"/>
      <c r="G507" s="19"/>
    </row>
    <row r="508" spans="2:7" ht="15" customHeight="1" x14ac:dyDescent="0.25">
      <c r="B508" s="45"/>
      <c r="C508" s="19"/>
      <c r="D508" s="46"/>
      <c r="E508" s="46"/>
      <c r="F508" s="19"/>
      <c r="G508" s="19"/>
    </row>
    <row r="509" spans="2:7" ht="15" customHeight="1" x14ac:dyDescent="0.25">
      <c r="B509" s="45"/>
      <c r="C509" s="19"/>
      <c r="D509" s="46"/>
      <c r="E509" s="46"/>
      <c r="F509" s="19"/>
      <c r="G509" s="19"/>
    </row>
    <row r="510" spans="2:7" ht="15" customHeight="1" x14ac:dyDescent="0.25">
      <c r="B510" s="45"/>
      <c r="C510" s="19"/>
      <c r="D510" s="46"/>
      <c r="E510" s="46"/>
      <c r="F510" s="19"/>
      <c r="G510" s="19"/>
    </row>
    <row r="511" spans="2:7" ht="15" customHeight="1" x14ac:dyDescent="0.25">
      <c r="B511" s="45"/>
      <c r="C511" s="19"/>
      <c r="D511" s="46"/>
      <c r="E511" s="46"/>
      <c r="F511" s="19"/>
      <c r="G511" s="19"/>
    </row>
    <row r="512" spans="2:7" ht="15" customHeight="1" x14ac:dyDescent="0.25">
      <c r="B512" s="45"/>
      <c r="C512" s="19"/>
      <c r="D512" s="46"/>
      <c r="E512" s="46"/>
      <c r="F512" s="19"/>
      <c r="G512" s="19"/>
    </row>
    <row r="513" spans="2:7" ht="15" customHeight="1" x14ac:dyDescent="0.25">
      <c r="B513" s="45"/>
      <c r="C513" s="19"/>
      <c r="D513" s="46"/>
      <c r="E513" s="46"/>
      <c r="F513" s="19"/>
      <c r="G513" s="19"/>
    </row>
    <row r="514" spans="2:7" ht="15" customHeight="1" x14ac:dyDescent="0.25">
      <c r="B514" s="45"/>
      <c r="C514" s="19"/>
      <c r="D514" s="46"/>
      <c r="E514" s="46"/>
      <c r="F514" s="19"/>
      <c r="G514" s="19"/>
    </row>
    <row r="515" spans="2:7" ht="15" customHeight="1" x14ac:dyDescent="0.25">
      <c r="B515" s="45"/>
      <c r="C515" s="19"/>
      <c r="D515" s="46"/>
      <c r="E515" s="46"/>
      <c r="F515" s="19"/>
      <c r="G515" s="19"/>
    </row>
    <row r="516" spans="2:7" ht="15" customHeight="1" x14ac:dyDescent="0.25">
      <c r="B516" s="45"/>
      <c r="C516" s="19"/>
      <c r="D516" s="46"/>
      <c r="E516" s="46"/>
      <c r="F516" s="19"/>
      <c r="G516" s="19"/>
    </row>
    <row r="517" spans="2:7" ht="15" customHeight="1" x14ac:dyDescent="0.25">
      <c r="B517" s="45"/>
      <c r="C517" s="19"/>
      <c r="D517" s="46"/>
      <c r="E517" s="46"/>
      <c r="F517" s="19"/>
      <c r="G517" s="19"/>
    </row>
    <row r="518" spans="2:7" ht="15" customHeight="1" x14ac:dyDescent="0.25">
      <c r="B518" s="45"/>
      <c r="C518" s="19"/>
      <c r="D518" s="46"/>
      <c r="E518" s="46"/>
      <c r="F518" s="19"/>
      <c r="G518" s="19"/>
    </row>
    <row r="519" spans="2:7" ht="15" customHeight="1" x14ac:dyDescent="0.25">
      <c r="B519" s="45"/>
      <c r="C519" s="19"/>
      <c r="D519" s="46"/>
      <c r="E519" s="46"/>
      <c r="F519" s="19"/>
      <c r="G519" s="19"/>
    </row>
    <row r="520" spans="2:7" ht="15" customHeight="1" x14ac:dyDescent="0.25">
      <c r="B520" s="45"/>
      <c r="C520" s="19"/>
      <c r="D520" s="46"/>
      <c r="E520" s="46"/>
      <c r="F520" s="19"/>
      <c r="G520" s="19"/>
    </row>
    <row r="521" spans="2:7" ht="15" customHeight="1" x14ac:dyDescent="0.25">
      <c r="B521" s="45"/>
      <c r="C521" s="19"/>
      <c r="D521" s="46"/>
      <c r="E521" s="46"/>
      <c r="F521" s="19"/>
      <c r="G521" s="19"/>
    </row>
    <row r="522" spans="2:7" ht="15" customHeight="1" x14ac:dyDescent="0.25">
      <c r="B522" s="45"/>
      <c r="C522" s="19"/>
      <c r="D522" s="46"/>
      <c r="E522" s="46"/>
      <c r="F522" s="19"/>
      <c r="G522" s="19"/>
    </row>
    <row r="523" spans="2:7" ht="15" customHeight="1" x14ac:dyDescent="0.25">
      <c r="B523" s="45"/>
      <c r="C523" s="19"/>
      <c r="D523" s="46"/>
      <c r="E523" s="46"/>
      <c r="F523" s="19"/>
      <c r="G523" s="19"/>
    </row>
    <row r="524" spans="2:7" ht="15" customHeight="1" x14ac:dyDescent="0.25">
      <c r="B524" s="45"/>
      <c r="C524" s="19"/>
      <c r="D524" s="46"/>
      <c r="E524" s="46"/>
      <c r="F524" s="19"/>
      <c r="G524" s="19"/>
    </row>
    <row r="525" spans="2:7" ht="15" customHeight="1" x14ac:dyDescent="0.25">
      <c r="B525" s="45"/>
      <c r="C525" s="19"/>
      <c r="D525" s="46"/>
      <c r="E525" s="46"/>
      <c r="F525" s="19"/>
      <c r="G525" s="19"/>
    </row>
    <row r="526" spans="2:7" ht="15" customHeight="1" x14ac:dyDescent="0.25">
      <c r="B526" s="45"/>
      <c r="C526" s="19"/>
      <c r="D526" s="46"/>
      <c r="E526" s="46"/>
      <c r="F526" s="19"/>
      <c r="G526" s="19"/>
    </row>
    <row r="527" spans="2:7" ht="15" customHeight="1" x14ac:dyDescent="0.25">
      <c r="B527" s="45"/>
      <c r="C527" s="19"/>
      <c r="D527" s="46"/>
      <c r="E527" s="46"/>
      <c r="F527" s="19"/>
      <c r="G527" s="19"/>
    </row>
    <row r="528" spans="2:7" ht="15" customHeight="1" x14ac:dyDescent="0.25">
      <c r="B528" s="45"/>
      <c r="C528" s="19"/>
      <c r="D528" s="46"/>
      <c r="E528" s="46"/>
      <c r="F528" s="19"/>
      <c r="G528" s="19"/>
    </row>
    <row r="529" spans="2:7" ht="15" customHeight="1" x14ac:dyDescent="0.25">
      <c r="B529" s="45"/>
      <c r="C529" s="19"/>
      <c r="D529" s="46"/>
      <c r="E529" s="46"/>
      <c r="F529" s="19"/>
      <c r="G529" s="19"/>
    </row>
    <row r="530" spans="2:7" ht="15" customHeight="1" x14ac:dyDescent="0.25">
      <c r="B530" s="45"/>
      <c r="C530" s="19"/>
      <c r="D530" s="46"/>
      <c r="E530" s="46"/>
      <c r="F530" s="19"/>
      <c r="G530" s="19"/>
    </row>
    <row r="531" spans="2:7" ht="15" customHeight="1" x14ac:dyDescent="0.25">
      <c r="B531" s="45"/>
      <c r="C531" s="19"/>
      <c r="D531" s="46"/>
      <c r="E531" s="46"/>
      <c r="F531" s="19"/>
      <c r="G531" s="19"/>
    </row>
    <row r="532" spans="2:7" ht="15" customHeight="1" x14ac:dyDescent="0.25">
      <c r="B532" s="45"/>
      <c r="C532" s="19"/>
      <c r="D532" s="46"/>
      <c r="E532" s="46"/>
      <c r="F532" s="19"/>
      <c r="G532" s="19"/>
    </row>
    <row r="533" spans="2:7" ht="15" customHeight="1" x14ac:dyDescent="0.25">
      <c r="B533" s="45"/>
      <c r="C533" s="19"/>
      <c r="D533" s="46"/>
      <c r="E533" s="46"/>
      <c r="F533" s="19"/>
      <c r="G533" s="19"/>
    </row>
    <row r="534" spans="2:7" ht="15" customHeight="1" x14ac:dyDescent="0.25">
      <c r="B534" s="45"/>
      <c r="C534" s="19"/>
      <c r="D534" s="46"/>
      <c r="E534" s="46"/>
      <c r="F534" s="19"/>
      <c r="G534" s="19"/>
    </row>
    <row r="535" spans="2:7" ht="15" customHeight="1" x14ac:dyDescent="0.25">
      <c r="B535" s="45"/>
      <c r="C535" s="19"/>
      <c r="D535" s="46"/>
      <c r="E535" s="46"/>
      <c r="F535" s="19"/>
      <c r="G535" s="19"/>
    </row>
    <row r="536" spans="2:7" ht="15" customHeight="1" x14ac:dyDescent="0.25">
      <c r="B536" s="45"/>
      <c r="C536" s="19"/>
      <c r="D536" s="46"/>
      <c r="E536" s="46"/>
      <c r="F536" s="19"/>
      <c r="G536" s="19"/>
    </row>
    <row r="537" spans="2:7" ht="15" customHeight="1" x14ac:dyDescent="0.25">
      <c r="B537" s="45"/>
      <c r="C537" s="19"/>
      <c r="D537" s="46"/>
      <c r="E537" s="46"/>
      <c r="F537" s="19"/>
      <c r="G537" s="19"/>
    </row>
    <row r="538" spans="2:7" ht="15" customHeight="1" x14ac:dyDescent="0.25">
      <c r="B538" s="45"/>
      <c r="C538" s="19"/>
      <c r="D538" s="46"/>
      <c r="E538" s="46"/>
      <c r="F538" s="19"/>
      <c r="G538" s="19"/>
    </row>
    <row r="539" spans="2:7" ht="15" customHeight="1" x14ac:dyDescent="0.25">
      <c r="B539" s="45"/>
      <c r="C539" s="19"/>
      <c r="D539" s="46"/>
      <c r="E539" s="46"/>
      <c r="F539" s="19"/>
      <c r="G539" s="19"/>
    </row>
    <row r="540" spans="2:7" ht="15" customHeight="1" x14ac:dyDescent="0.25">
      <c r="B540" s="45"/>
      <c r="C540" s="19"/>
      <c r="D540" s="46"/>
      <c r="E540" s="46"/>
      <c r="F540" s="19"/>
      <c r="G540" s="19"/>
    </row>
    <row r="541" spans="2:7" ht="15" customHeight="1" x14ac:dyDescent="0.25">
      <c r="B541" s="45"/>
      <c r="C541" s="19"/>
      <c r="D541" s="46"/>
      <c r="E541" s="46"/>
      <c r="F541" s="19"/>
      <c r="G541" s="19"/>
    </row>
    <row r="542" spans="2:7" ht="15" customHeight="1" x14ac:dyDescent="0.25">
      <c r="B542" s="45"/>
      <c r="C542" s="19"/>
      <c r="D542" s="46"/>
      <c r="E542" s="46"/>
      <c r="F542" s="19"/>
      <c r="G542" s="19"/>
    </row>
    <row r="543" spans="2:7" ht="15" customHeight="1" x14ac:dyDescent="0.25">
      <c r="B543" s="45"/>
      <c r="C543" s="19"/>
      <c r="D543" s="46"/>
      <c r="E543" s="46"/>
      <c r="F543" s="19"/>
      <c r="G543" s="19"/>
    </row>
    <row r="544" spans="2:7" ht="15" customHeight="1" x14ac:dyDescent="0.25">
      <c r="B544" s="45"/>
      <c r="C544" s="19"/>
      <c r="D544" s="46"/>
      <c r="E544" s="46"/>
      <c r="F544" s="19"/>
      <c r="G544" s="19"/>
    </row>
    <row r="545" spans="2:7" ht="15" customHeight="1" x14ac:dyDescent="0.25">
      <c r="B545" s="45"/>
      <c r="C545" s="19"/>
      <c r="D545" s="46"/>
      <c r="E545" s="46"/>
      <c r="F545" s="19"/>
      <c r="G545" s="19"/>
    </row>
    <row r="546" spans="2:7" ht="15" customHeight="1" x14ac:dyDescent="0.25">
      <c r="B546" s="45"/>
      <c r="C546" s="19"/>
      <c r="D546" s="46"/>
      <c r="E546" s="46"/>
      <c r="F546" s="19"/>
      <c r="G546" s="19"/>
    </row>
    <row r="547" spans="2:7" ht="15" customHeight="1" x14ac:dyDescent="0.25">
      <c r="B547" s="45"/>
      <c r="C547" s="19"/>
      <c r="D547" s="46"/>
      <c r="E547" s="46"/>
      <c r="F547" s="19"/>
      <c r="G547" s="19"/>
    </row>
    <row r="548" spans="2:7" ht="15" customHeight="1" x14ac:dyDescent="0.25">
      <c r="B548" s="45"/>
      <c r="C548" s="19"/>
      <c r="D548" s="46"/>
      <c r="E548" s="46"/>
      <c r="F548" s="19"/>
      <c r="G548" s="19"/>
    </row>
    <row r="549" spans="2:7" ht="15" customHeight="1" x14ac:dyDescent="0.25">
      <c r="B549" s="45"/>
      <c r="C549" s="19"/>
      <c r="D549" s="46"/>
      <c r="E549" s="46"/>
      <c r="F549" s="19"/>
      <c r="G549" s="19"/>
    </row>
    <row r="550" spans="2:7" ht="15" customHeight="1" x14ac:dyDescent="0.25">
      <c r="B550" s="45"/>
      <c r="C550" s="19"/>
      <c r="D550" s="46"/>
      <c r="E550" s="46"/>
      <c r="F550" s="19"/>
      <c r="G550" s="19"/>
    </row>
    <row r="551" spans="2:7" ht="15" customHeight="1" x14ac:dyDescent="0.25">
      <c r="B551" s="45"/>
      <c r="C551" s="19"/>
      <c r="D551" s="46"/>
      <c r="E551" s="46"/>
      <c r="F551" s="19"/>
      <c r="G551" s="19"/>
    </row>
    <row r="552" spans="2:7" ht="15" customHeight="1" x14ac:dyDescent="0.25">
      <c r="B552" s="45"/>
      <c r="C552" s="19"/>
      <c r="D552" s="46"/>
      <c r="E552" s="46"/>
      <c r="F552" s="19"/>
      <c r="G552" s="19"/>
    </row>
    <row r="553" spans="2:7" ht="15" customHeight="1" x14ac:dyDescent="0.25">
      <c r="B553" s="45"/>
      <c r="C553" s="19"/>
      <c r="D553" s="46"/>
      <c r="E553" s="46"/>
      <c r="F553" s="19"/>
      <c r="G553" s="19"/>
    </row>
    <row r="554" spans="2:7" ht="15" customHeight="1" x14ac:dyDescent="0.25">
      <c r="B554" s="45"/>
      <c r="C554" s="19"/>
      <c r="D554" s="46"/>
      <c r="E554" s="46"/>
      <c r="F554" s="19"/>
      <c r="G554" s="19"/>
    </row>
    <row r="555" spans="2:7" ht="15" customHeight="1" x14ac:dyDescent="0.25">
      <c r="B555" s="45"/>
      <c r="C555" s="19"/>
      <c r="D555" s="46"/>
      <c r="E555" s="46"/>
      <c r="F555" s="19"/>
      <c r="G555" s="19"/>
    </row>
    <row r="556" spans="2:7" ht="15" customHeight="1" x14ac:dyDescent="0.25">
      <c r="B556" s="45"/>
      <c r="C556" s="19"/>
      <c r="D556" s="46"/>
      <c r="E556" s="46"/>
      <c r="F556" s="19"/>
      <c r="G556" s="19"/>
    </row>
    <row r="557" spans="2:7" ht="15" customHeight="1" x14ac:dyDescent="0.25">
      <c r="B557" s="45"/>
      <c r="C557" s="19"/>
      <c r="D557" s="46"/>
      <c r="E557" s="46"/>
      <c r="F557" s="19"/>
      <c r="G557" s="19"/>
    </row>
    <row r="558" spans="2:7" ht="15" customHeight="1" x14ac:dyDescent="0.25">
      <c r="B558" s="45"/>
      <c r="C558" s="19"/>
      <c r="D558" s="46"/>
      <c r="E558" s="46"/>
      <c r="F558" s="19"/>
      <c r="G558" s="19"/>
    </row>
    <row r="559" spans="2:7" ht="15" customHeight="1" x14ac:dyDescent="0.25">
      <c r="B559" s="45"/>
      <c r="C559" s="19"/>
      <c r="D559" s="46"/>
      <c r="E559" s="46"/>
      <c r="F559" s="19"/>
      <c r="G559" s="19"/>
    </row>
    <row r="560" spans="2:7" ht="15" customHeight="1" x14ac:dyDescent="0.25">
      <c r="B560" s="45"/>
      <c r="C560" s="19"/>
      <c r="D560" s="46"/>
      <c r="E560" s="46"/>
      <c r="F560" s="19"/>
      <c r="G560" s="19"/>
    </row>
    <row r="561" spans="2:7" ht="15" customHeight="1" x14ac:dyDescent="0.25">
      <c r="B561" s="45"/>
      <c r="C561" s="19"/>
      <c r="D561" s="46"/>
      <c r="E561" s="46"/>
      <c r="F561" s="19"/>
      <c r="G561" s="19"/>
    </row>
    <row r="562" spans="2:7" ht="15" customHeight="1" x14ac:dyDescent="0.25">
      <c r="B562" s="45"/>
      <c r="C562" s="19"/>
      <c r="D562" s="46"/>
      <c r="E562" s="46"/>
      <c r="F562" s="19"/>
      <c r="G562" s="19"/>
    </row>
    <row r="563" spans="2:7" ht="15" customHeight="1" x14ac:dyDescent="0.25">
      <c r="B563" s="45"/>
      <c r="C563" s="19"/>
      <c r="D563" s="46"/>
      <c r="E563" s="46"/>
      <c r="F563" s="19"/>
      <c r="G563" s="19"/>
    </row>
    <row r="564" spans="2:7" ht="15" customHeight="1" x14ac:dyDescent="0.25">
      <c r="B564" s="45"/>
      <c r="C564" s="19"/>
      <c r="D564" s="46"/>
      <c r="E564" s="46"/>
      <c r="F564" s="19"/>
      <c r="G564" s="19"/>
    </row>
    <row r="565" spans="2:7" ht="15" customHeight="1" x14ac:dyDescent="0.25">
      <c r="B565" s="45"/>
      <c r="C565" s="19"/>
      <c r="D565" s="46"/>
      <c r="E565" s="46"/>
      <c r="F565" s="19"/>
      <c r="G565" s="19"/>
    </row>
    <row r="566" spans="2:7" ht="15" customHeight="1" x14ac:dyDescent="0.25">
      <c r="B566" s="45"/>
      <c r="C566" s="19"/>
      <c r="D566" s="46"/>
      <c r="E566" s="46"/>
      <c r="F566" s="19"/>
      <c r="G566" s="19"/>
    </row>
    <row r="567" spans="2:7" ht="15" customHeight="1" x14ac:dyDescent="0.25">
      <c r="B567" s="45"/>
      <c r="C567" s="19"/>
      <c r="D567" s="46"/>
      <c r="E567" s="46"/>
      <c r="F567" s="19"/>
      <c r="G567" s="19"/>
    </row>
    <row r="568" spans="2:7" ht="15" customHeight="1" x14ac:dyDescent="0.25">
      <c r="B568" s="45"/>
      <c r="C568" s="19"/>
      <c r="D568" s="46"/>
      <c r="E568" s="46"/>
      <c r="F568" s="19"/>
      <c r="G568" s="19"/>
    </row>
    <row r="569" spans="2:7" ht="15" customHeight="1" x14ac:dyDescent="0.25">
      <c r="B569" s="45"/>
      <c r="C569" s="19"/>
      <c r="D569" s="46"/>
      <c r="E569" s="46"/>
      <c r="F569" s="19"/>
      <c r="G569" s="19"/>
    </row>
    <row r="570" spans="2:7" ht="15" customHeight="1" x14ac:dyDescent="0.25">
      <c r="B570" s="45"/>
      <c r="C570" s="19"/>
      <c r="D570" s="46"/>
      <c r="E570" s="46"/>
      <c r="F570" s="19"/>
      <c r="G570" s="19"/>
    </row>
    <row r="571" spans="2:7" ht="15" customHeight="1" x14ac:dyDescent="0.25">
      <c r="B571" s="45"/>
      <c r="C571" s="19"/>
      <c r="D571" s="46"/>
      <c r="E571" s="46"/>
      <c r="F571" s="19"/>
      <c r="G571" s="19"/>
    </row>
    <row r="572" spans="2:7" ht="15" customHeight="1" x14ac:dyDescent="0.25">
      <c r="B572" s="45"/>
      <c r="C572" s="19"/>
      <c r="D572" s="46"/>
      <c r="E572" s="46"/>
      <c r="F572" s="19"/>
      <c r="G572" s="19"/>
    </row>
    <row r="573" spans="2:7" ht="15" customHeight="1" x14ac:dyDescent="0.25">
      <c r="B573" s="45"/>
      <c r="C573" s="19"/>
      <c r="D573" s="46"/>
      <c r="E573" s="46"/>
      <c r="F573" s="19"/>
      <c r="G573" s="19"/>
    </row>
    <row r="574" spans="2:7" ht="15" customHeight="1" x14ac:dyDescent="0.25">
      <c r="B574" s="45"/>
      <c r="C574" s="19"/>
      <c r="D574" s="46"/>
      <c r="E574" s="46"/>
      <c r="F574" s="19"/>
      <c r="G574" s="19"/>
    </row>
    <row r="575" spans="2:7" ht="15" customHeight="1" x14ac:dyDescent="0.25">
      <c r="B575" s="45"/>
      <c r="C575" s="19"/>
      <c r="D575" s="46"/>
      <c r="E575" s="46"/>
      <c r="F575" s="19"/>
      <c r="G575" s="19"/>
    </row>
    <row r="576" spans="2:7" ht="15" customHeight="1" x14ac:dyDescent="0.25">
      <c r="B576" s="45"/>
      <c r="C576" s="19"/>
      <c r="D576" s="46"/>
      <c r="E576" s="46"/>
      <c r="F576" s="19"/>
      <c r="G576" s="19"/>
    </row>
    <row r="577" spans="2:7" ht="15" customHeight="1" x14ac:dyDescent="0.25">
      <c r="B577" s="45"/>
      <c r="C577" s="19"/>
      <c r="D577" s="46"/>
      <c r="E577" s="46"/>
      <c r="F577" s="19"/>
      <c r="G577" s="19"/>
    </row>
    <row r="578" spans="2:7" ht="15" customHeight="1" x14ac:dyDescent="0.25">
      <c r="B578" s="45"/>
      <c r="C578" s="19"/>
      <c r="D578" s="46"/>
      <c r="E578" s="46"/>
      <c r="F578" s="19"/>
      <c r="G578" s="19"/>
    </row>
    <row r="579" spans="2:7" ht="15" customHeight="1" x14ac:dyDescent="0.25">
      <c r="B579" s="45"/>
      <c r="C579" s="19"/>
      <c r="D579" s="46"/>
      <c r="E579" s="46"/>
      <c r="F579" s="19"/>
      <c r="G579" s="19"/>
    </row>
    <row r="580" spans="2:7" ht="15" customHeight="1" x14ac:dyDescent="0.25">
      <c r="B580" s="45"/>
      <c r="C580" s="19"/>
      <c r="D580" s="46"/>
      <c r="E580" s="46"/>
      <c r="F580" s="19"/>
      <c r="G580" s="19"/>
    </row>
    <row r="581" spans="2:7" ht="15" customHeight="1" x14ac:dyDescent="0.25">
      <c r="B581" s="45"/>
      <c r="C581" s="19"/>
      <c r="D581" s="46"/>
      <c r="E581" s="46"/>
      <c r="F581" s="19"/>
      <c r="G581" s="19"/>
    </row>
    <row r="582" spans="2:7" ht="15" customHeight="1" x14ac:dyDescent="0.25">
      <c r="B582" s="45"/>
      <c r="C582" s="19"/>
      <c r="D582" s="46"/>
      <c r="E582" s="46"/>
      <c r="F582" s="19"/>
      <c r="G582" s="19"/>
    </row>
    <row r="583" spans="2:7" ht="15" customHeight="1" x14ac:dyDescent="0.25">
      <c r="B583" s="45"/>
      <c r="C583" s="19"/>
      <c r="D583" s="46"/>
      <c r="E583" s="46"/>
      <c r="F583" s="19"/>
      <c r="G583" s="19"/>
    </row>
    <row r="584" spans="2:7" ht="15" customHeight="1" x14ac:dyDescent="0.25">
      <c r="B584" s="45"/>
      <c r="C584" s="19"/>
      <c r="D584" s="46"/>
      <c r="E584" s="46"/>
      <c r="F584" s="19"/>
      <c r="G584" s="19"/>
    </row>
    <row r="585" spans="2:7" ht="15" customHeight="1" x14ac:dyDescent="0.25">
      <c r="B585" s="45"/>
      <c r="C585" s="19"/>
      <c r="D585" s="46"/>
      <c r="E585" s="46"/>
      <c r="F585" s="19"/>
      <c r="G585" s="19"/>
    </row>
    <row r="586" spans="2:7" ht="15" customHeight="1" x14ac:dyDescent="0.25">
      <c r="B586" s="45"/>
      <c r="C586" s="19"/>
      <c r="D586" s="46"/>
      <c r="E586" s="46"/>
      <c r="F586" s="19"/>
      <c r="G586" s="19"/>
    </row>
    <row r="587" spans="2:7" ht="15" customHeight="1" x14ac:dyDescent="0.25">
      <c r="B587" s="45"/>
      <c r="C587" s="19"/>
      <c r="D587" s="46"/>
      <c r="E587" s="46"/>
      <c r="F587" s="19"/>
      <c r="G587" s="19"/>
    </row>
    <row r="588" spans="2:7" ht="15" customHeight="1" x14ac:dyDescent="0.25">
      <c r="B588" s="45"/>
      <c r="C588" s="19"/>
      <c r="D588" s="46"/>
      <c r="E588" s="46"/>
      <c r="F588" s="19"/>
      <c r="G588" s="19"/>
    </row>
    <row r="589" spans="2:7" ht="15" customHeight="1" x14ac:dyDescent="0.25">
      <c r="B589" s="45"/>
      <c r="C589" s="19"/>
      <c r="D589" s="46"/>
      <c r="E589" s="46"/>
      <c r="F589" s="19"/>
      <c r="G589" s="19"/>
    </row>
    <row r="590" spans="2:7" ht="15" customHeight="1" x14ac:dyDescent="0.25">
      <c r="B590" s="45"/>
      <c r="C590" s="19"/>
      <c r="D590" s="46"/>
      <c r="E590" s="46"/>
      <c r="F590" s="19"/>
      <c r="G590" s="19"/>
    </row>
    <row r="591" spans="2:7" ht="15" customHeight="1" x14ac:dyDescent="0.25">
      <c r="B591" s="45"/>
      <c r="C591" s="19"/>
      <c r="D591" s="46"/>
      <c r="E591" s="46"/>
      <c r="F591" s="19"/>
      <c r="G591" s="19"/>
    </row>
    <row r="592" spans="2:7" ht="15" customHeight="1" x14ac:dyDescent="0.25">
      <c r="B592" s="45"/>
      <c r="C592" s="19"/>
      <c r="D592" s="46"/>
      <c r="E592" s="46"/>
      <c r="F592" s="19"/>
      <c r="G592" s="19"/>
    </row>
    <row r="593" spans="2:7" ht="15" customHeight="1" x14ac:dyDescent="0.25">
      <c r="B593" s="45"/>
      <c r="C593" s="19"/>
      <c r="D593" s="46"/>
      <c r="E593" s="46"/>
      <c r="F593" s="19"/>
      <c r="G593" s="19"/>
    </row>
    <row r="594" spans="2:7" ht="15" customHeight="1" x14ac:dyDescent="0.25">
      <c r="B594" s="45"/>
      <c r="C594" s="19"/>
      <c r="D594" s="46"/>
      <c r="E594" s="46"/>
      <c r="F594" s="19"/>
      <c r="G594" s="19"/>
    </row>
    <row r="595" spans="2:7" ht="15" customHeight="1" x14ac:dyDescent="0.25">
      <c r="B595" s="45"/>
      <c r="C595" s="19"/>
      <c r="D595" s="46"/>
      <c r="E595" s="46"/>
      <c r="F595" s="19"/>
      <c r="G595" s="19"/>
    </row>
    <row r="596" spans="2:7" ht="15" customHeight="1" x14ac:dyDescent="0.25">
      <c r="B596" s="45"/>
      <c r="C596" s="19"/>
      <c r="D596" s="46"/>
      <c r="E596" s="46"/>
      <c r="F596" s="19"/>
      <c r="G596" s="19"/>
    </row>
    <row r="597" spans="2:7" ht="15" customHeight="1" x14ac:dyDescent="0.25">
      <c r="B597" s="45"/>
      <c r="C597" s="19"/>
      <c r="D597" s="46"/>
      <c r="E597" s="46"/>
      <c r="F597" s="19"/>
      <c r="G597" s="19"/>
    </row>
    <row r="598" spans="2:7" ht="15" customHeight="1" x14ac:dyDescent="0.25">
      <c r="B598" s="45"/>
      <c r="C598" s="19"/>
      <c r="D598" s="46"/>
      <c r="E598" s="46"/>
      <c r="F598" s="19"/>
      <c r="G598" s="19"/>
    </row>
    <row r="599" spans="2:7" ht="15" customHeight="1" x14ac:dyDescent="0.25">
      <c r="B599" s="45"/>
      <c r="C599" s="19"/>
      <c r="D599" s="46"/>
      <c r="E599" s="46"/>
      <c r="F599" s="19"/>
      <c r="G599" s="19"/>
    </row>
    <row r="600" spans="2:7" ht="15" customHeight="1" x14ac:dyDescent="0.25">
      <c r="B600" s="45"/>
      <c r="C600" s="19"/>
      <c r="D600" s="46"/>
      <c r="E600" s="46"/>
      <c r="F600" s="19"/>
      <c r="G600" s="19"/>
    </row>
    <row r="601" spans="2:7" ht="15" customHeight="1" x14ac:dyDescent="0.25">
      <c r="B601" s="45"/>
      <c r="C601" s="19"/>
      <c r="D601" s="46"/>
      <c r="E601" s="46"/>
      <c r="F601" s="19"/>
      <c r="G601" s="19"/>
    </row>
    <row r="602" spans="2:7" ht="15" customHeight="1" x14ac:dyDescent="0.25">
      <c r="B602" s="45"/>
      <c r="C602" s="19"/>
      <c r="D602" s="46"/>
      <c r="E602" s="46"/>
      <c r="F602" s="19"/>
      <c r="G602" s="19"/>
    </row>
    <row r="603" spans="2:7" ht="15" customHeight="1" x14ac:dyDescent="0.25">
      <c r="B603" s="45"/>
      <c r="C603" s="19"/>
      <c r="D603" s="46"/>
      <c r="E603" s="46"/>
      <c r="F603" s="19"/>
      <c r="G603" s="19"/>
    </row>
    <row r="604" spans="2:7" ht="15" customHeight="1" x14ac:dyDescent="0.25">
      <c r="B604" s="45"/>
      <c r="C604" s="19"/>
      <c r="D604" s="46"/>
      <c r="E604" s="46"/>
      <c r="F604" s="19"/>
      <c r="G604" s="19"/>
    </row>
    <row r="605" spans="2:7" ht="15" customHeight="1" x14ac:dyDescent="0.25">
      <c r="B605" s="45"/>
      <c r="C605" s="19"/>
      <c r="D605" s="46"/>
      <c r="E605" s="46"/>
      <c r="F605" s="19"/>
      <c r="G605" s="19"/>
    </row>
    <row r="606" spans="2:7" ht="15" customHeight="1" x14ac:dyDescent="0.25">
      <c r="B606" s="45"/>
      <c r="C606" s="19"/>
      <c r="D606" s="46"/>
      <c r="E606" s="46"/>
      <c r="F606" s="19"/>
      <c r="G606" s="19"/>
    </row>
    <row r="607" spans="2:7" ht="15" customHeight="1" x14ac:dyDescent="0.25">
      <c r="B607" s="45"/>
      <c r="C607" s="19"/>
      <c r="D607" s="46"/>
      <c r="E607" s="46"/>
      <c r="F607" s="19"/>
      <c r="G607" s="19"/>
    </row>
    <row r="608" spans="2:7" ht="15" customHeight="1" x14ac:dyDescent="0.25">
      <c r="B608" s="45"/>
      <c r="C608" s="19"/>
      <c r="D608" s="46"/>
      <c r="E608" s="46"/>
      <c r="F608" s="19"/>
      <c r="G608" s="19"/>
    </row>
    <row r="609" spans="2:7" ht="15" customHeight="1" x14ac:dyDescent="0.25">
      <c r="B609" s="45"/>
      <c r="C609" s="19"/>
      <c r="D609" s="46"/>
      <c r="E609" s="46"/>
      <c r="F609" s="19"/>
      <c r="G609" s="19"/>
    </row>
    <row r="610" spans="2:7" ht="15" customHeight="1" x14ac:dyDescent="0.25">
      <c r="B610" s="45"/>
      <c r="C610" s="19"/>
      <c r="D610" s="46"/>
      <c r="E610" s="46"/>
      <c r="F610" s="19"/>
      <c r="G610" s="19"/>
    </row>
    <row r="611" spans="2:7" ht="15" customHeight="1" x14ac:dyDescent="0.25">
      <c r="B611" s="45"/>
      <c r="C611" s="19"/>
      <c r="D611" s="46"/>
      <c r="E611" s="46"/>
      <c r="F611" s="19"/>
      <c r="G611" s="19"/>
    </row>
    <row r="612" spans="2:7" ht="15" customHeight="1" x14ac:dyDescent="0.25">
      <c r="B612" s="45"/>
      <c r="C612" s="19"/>
      <c r="D612" s="46"/>
      <c r="E612" s="46"/>
      <c r="F612" s="19"/>
      <c r="G612" s="19"/>
    </row>
    <row r="613" spans="2:7" ht="15" customHeight="1" x14ac:dyDescent="0.25">
      <c r="B613" s="45"/>
      <c r="C613" s="19"/>
      <c r="D613" s="46"/>
      <c r="E613" s="46"/>
      <c r="F613" s="19"/>
      <c r="G613" s="19"/>
    </row>
    <row r="614" spans="2:7" ht="15" customHeight="1" x14ac:dyDescent="0.25">
      <c r="B614" s="45"/>
      <c r="C614" s="19"/>
      <c r="D614" s="46"/>
      <c r="E614" s="46"/>
      <c r="F614" s="19"/>
      <c r="G614" s="19"/>
    </row>
    <row r="615" spans="2:7" ht="15" customHeight="1" x14ac:dyDescent="0.25">
      <c r="B615" s="45"/>
      <c r="C615" s="19"/>
      <c r="D615" s="46"/>
      <c r="E615" s="46"/>
      <c r="F615" s="19"/>
      <c r="G615" s="19"/>
    </row>
    <row r="616" spans="2:7" ht="15" customHeight="1" x14ac:dyDescent="0.25">
      <c r="B616" s="45"/>
      <c r="C616" s="19"/>
      <c r="D616" s="46"/>
      <c r="E616" s="46"/>
      <c r="F616" s="19"/>
      <c r="G616" s="19"/>
    </row>
    <row r="617" spans="2:7" ht="15" customHeight="1" x14ac:dyDescent="0.25">
      <c r="B617" s="45"/>
      <c r="C617" s="19"/>
      <c r="D617" s="46"/>
      <c r="E617" s="46"/>
      <c r="F617" s="19"/>
      <c r="G617" s="19"/>
    </row>
    <row r="618" spans="2:7" ht="15" customHeight="1" x14ac:dyDescent="0.25">
      <c r="B618" s="45"/>
      <c r="C618" s="19"/>
      <c r="D618" s="46"/>
      <c r="E618" s="46"/>
      <c r="F618" s="19"/>
      <c r="G618" s="19"/>
    </row>
    <row r="619" spans="2:7" ht="15" customHeight="1" x14ac:dyDescent="0.25">
      <c r="B619" s="45"/>
      <c r="C619" s="19"/>
      <c r="D619" s="46"/>
      <c r="E619" s="46"/>
      <c r="F619" s="19"/>
      <c r="G619" s="19"/>
    </row>
    <row r="620" spans="2:7" ht="15" customHeight="1" x14ac:dyDescent="0.25">
      <c r="B620" s="45"/>
      <c r="C620" s="19"/>
      <c r="D620" s="46"/>
      <c r="E620" s="46"/>
      <c r="F620" s="19"/>
      <c r="G620" s="19"/>
    </row>
    <row r="621" spans="2:7" ht="15" customHeight="1" x14ac:dyDescent="0.25">
      <c r="B621" s="45"/>
      <c r="C621" s="19"/>
      <c r="D621" s="46"/>
      <c r="E621" s="46"/>
      <c r="F621" s="19"/>
      <c r="G621" s="19"/>
    </row>
    <row r="622" spans="2:7" ht="15" customHeight="1" x14ac:dyDescent="0.25">
      <c r="B622" s="45"/>
      <c r="C622" s="19"/>
      <c r="D622" s="46"/>
      <c r="E622" s="46"/>
      <c r="F622" s="19"/>
      <c r="G622" s="19"/>
    </row>
    <row r="623" spans="2:7" ht="15" customHeight="1" x14ac:dyDescent="0.25">
      <c r="B623" s="45"/>
      <c r="C623" s="19"/>
      <c r="D623" s="46"/>
      <c r="E623" s="46"/>
      <c r="F623" s="19"/>
      <c r="G623" s="19"/>
    </row>
    <row r="624" spans="2:7" ht="15" customHeight="1" x14ac:dyDescent="0.25">
      <c r="B624" s="45"/>
      <c r="C624" s="19"/>
      <c r="D624" s="46"/>
      <c r="E624" s="46"/>
      <c r="F624" s="19"/>
      <c r="G624" s="19"/>
    </row>
    <row r="625" spans="2:7" ht="15" customHeight="1" x14ac:dyDescent="0.25">
      <c r="B625" s="45"/>
      <c r="C625" s="19"/>
      <c r="D625" s="46"/>
      <c r="E625" s="46"/>
      <c r="F625" s="19"/>
      <c r="G625" s="19"/>
    </row>
    <row r="626" spans="2:7" ht="15" customHeight="1" x14ac:dyDescent="0.25">
      <c r="B626" s="45"/>
      <c r="C626" s="19"/>
      <c r="D626" s="46"/>
      <c r="E626" s="46"/>
      <c r="F626" s="19"/>
      <c r="G626" s="19"/>
    </row>
    <row r="627" spans="2:7" ht="15" customHeight="1" x14ac:dyDescent="0.25">
      <c r="B627" s="45"/>
      <c r="C627" s="19"/>
      <c r="D627" s="46"/>
      <c r="E627" s="46"/>
      <c r="F627" s="19"/>
      <c r="G627" s="19"/>
    </row>
    <row r="628" spans="2:7" ht="15" customHeight="1" x14ac:dyDescent="0.25">
      <c r="B628" s="45"/>
      <c r="C628" s="19"/>
      <c r="D628" s="46"/>
      <c r="E628" s="46"/>
      <c r="F628" s="19"/>
      <c r="G628" s="19"/>
    </row>
    <row r="629" spans="2:7" ht="15" customHeight="1" x14ac:dyDescent="0.25">
      <c r="B629" s="45"/>
      <c r="C629" s="19"/>
      <c r="D629" s="46"/>
      <c r="E629" s="46"/>
      <c r="F629" s="19"/>
      <c r="G629" s="19"/>
    </row>
    <row r="630" spans="2:7" ht="15" customHeight="1" x14ac:dyDescent="0.25">
      <c r="B630" s="45"/>
      <c r="C630" s="19"/>
      <c r="D630" s="46"/>
      <c r="E630" s="46"/>
      <c r="F630" s="19"/>
      <c r="G630" s="19"/>
    </row>
    <row r="631" spans="2:7" ht="15" customHeight="1" x14ac:dyDescent="0.25">
      <c r="B631" s="45"/>
      <c r="C631" s="19"/>
      <c r="D631" s="46"/>
      <c r="E631" s="46"/>
      <c r="F631" s="19"/>
      <c r="G631" s="19"/>
    </row>
    <row r="632" spans="2:7" ht="15" customHeight="1" x14ac:dyDescent="0.25">
      <c r="B632" s="45"/>
      <c r="C632" s="19"/>
      <c r="D632" s="46"/>
      <c r="E632" s="46"/>
      <c r="F632" s="19"/>
      <c r="G632" s="19"/>
    </row>
    <row r="633" spans="2:7" ht="15" customHeight="1" x14ac:dyDescent="0.25">
      <c r="B633" s="45"/>
      <c r="C633" s="19"/>
      <c r="D633" s="46"/>
      <c r="E633" s="46"/>
      <c r="F633" s="19"/>
      <c r="G633" s="19"/>
    </row>
    <row r="634" spans="2:7" ht="15" customHeight="1" x14ac:dyDescent="0.25">
      <c r="B634" s="45"/>
      <c r="C634" s="19"/>
      <c r="D634" s="46"/>
      <c r="E634" s="46"/>
      <c r="F634" s="19"/>
      <c r="G634" s="19"/>
    </row>
    <row r="635" spans="2:7" ht="15" customHeight="1" x14ac:dyDescent="0.25">
      <c r="B635" s="45"/>
      <c r="C635" s="19"/>
      <c r="D635" s="46"/>
      <c r="E635" s="46"/>
      <c r="F635" s="19"/>
      <c r="G635" s="19"/>
    </row>
    <row r="636" spans="2:7" ht="15" customHeight="1" x14ac:dyDescent="0.25">
      <c r="B636" s="45"/>
      <c r="C636" s="19"/>
      <c r="D636" s="46"/>
      <c r="E636" s="46"/>
      <c r="F636" s="19"/>
      <c r="G636" s="19"/>
    </row>
    <row r="637" spans="2:7" ht="15" customHeight="1" x14ac:dyDescent="0.25">
      <c r="B637" s="45"/>
      <c r="C637" s="19"/>
      <c r="D637" s="46"/>
      <c r="E637" s="46"/>
      <c r="F637" s="19"/>
      <c r="G637" s="19"/>
    </row>
    <row r="638" spans="2:7" ht="15" customHeight="1" x14ac:dyDescent="0.25">
      <c r="B638" s="45"/>
      <c r="C638" s="19"/>
      <c r="D638" s="46"/>
      <c r="E638" s="46"/>
      <c r="F638" s="19"/>
      <c r="G638" s="19"/>
    </row>
    <row r="639" spans="2:7" ht="15" customHeight="1" x14ac:dyDescent="0.25">
      <c r="B639" s="45"/>
      <c r="C639" s="19"/>
      <c r="D639" s="46"/>
      <c r="E639" s="46"/>
      <c r="F639" s="19"/>
      <c r="G639" s="19"/>
    </row>
    <row r="640" spans="2:7" ht="15" customHeight="1" x14ac:dyDescent="0.25">
      <c r="B640" s="45"/>
      <c r="C640" s="19"/>
      <c r="D640" s="46"/>
      <c r="E640" s="46"/>
      <c r="F640" s="19"/>
      <c r="G640" s="19"/>
    </row>
    <row r="641" spans="2:7" ht="15" customHeight="1" x14ac:dyDescent="0.25">
      <c r="B641" s="45"/>
      <c r="C641" s="19"/>
      <c r="D641" s="46"/>
      <c r="E641" s="46"/>
      <c r="F641" s="19"/>
      <c r="G641" s="19"/>
    </row>
    <row r="642" spans="2:7" ht="15" customHeight="1" x14ac:dyDescent="0.25">
      <c r="B642" s="45"/>
      <c r="C642" s="19"/>
      <c r="D642" s="46"/>
      <c r="E642" s="46"/>
      <c r="F642" s="19"/>
      <c r="G642" s="19"/>
    </row>
    <row r="643" spans="2:7" ht="15" customHeight="1" x14ac:dyDescent="0.25">
      <c r="B643" s="45"/>
      <c r="C643" s="19"/>
      <c r="D643" s="46"/>
      <c r="E643" s="46"/>
      <c r="F643" s="19"/>
      <c r="G643" s="19"/>
    </row>
    <row r="644" spans="2:7" ht="15" customHeight="1" x14ac:dyDescent="0.25">
      <c r="B644" s="45"/>
      <c r="C644" s="19"/>
      <c r="D644" s="46"/>
      <c r="E644" s="46"/>
      <c r="F644" s="19"/>
      <c r="G644" s="19"/>
    </row>
    <row r="645" spans="2:7" ht="15" customHeight="1" x14ac:dyDescent="0.25">
      <c r="B645" s="45"/>
      <c r="C645" s="19"/>
      <c r="D645" s="46"/>
      <c r="E645" s="46"/>
      <c r="F645" s="19"/>
      <c r="G645" s="19"/>
    </row>
    <row r="646" spans="2:7" ht="15" customHeight="1" x14ac:dyDescent="0.25">
      <c r="B646" s="45"/>
      <c r="C646" s="19"/>
      <c r="D646" s="46"/>
      <c r="E646" s="46"/>
      <c r="F646" s="19"/>
      <c r="G646" s="19"/>
    </row>
    <row r="647" spans="2:7" ht="15" customHeight="1" x14ac:dyDescent="0.25">
      <c r="B647" s="45"/>
      <c r="C647" s="19"/>
      <c r="D647" s="46"/>
      <c r="E647" s="46"/>
      <c r="F647" s="19"/>
      <c r="G647" s="19"/>
    </row>
    <row r="648" spans="2:7" ht="15" customHeight="1" x14ac:dyDescent="0.25">
      <c r="B648" s="45"/>
      <c r="C648" s="19"/>
      <c r="D648" s="46"/>
      <c r="E648" s="46"/>
      <c r="F648" s="19"/>
      <c r="G648" s="19"/>
    </row>
    <row r="649" spans="2:7" ht="15" customHeight="1" x14ac:dyDescent="0.25">
      <c r="B649" s="45"/>
      <c r="C649" s="19"/>
      <c r="D649" s="46"/>
      <c r="E649" s="46"/>
      <c r="F649" s="19"/>
      <c r="G649" s="19"/>
    </row>
    <row r="650" spans="2:7" ht="15" customHeight="1" x14ac:dyDescent="0.25">
      <c r="B650" s="45"/>
      <c r="C650" s="19"/>
      <c r="D650" s="46"/>
      <c r="E650" s="46"/>
      <c r="F650" s="19"/>
      <c r="G650" s="19"/>
    </row>
    <row r="651" spans="2:7" ht="15" customHeight="1" x14ac:dyDescent="0.25">
      <c r="B651" s="45"/>
      <c r="C651" s="19"/>
      <c r="D651" s="46"/>
      <c r="E651" s="46"/>
      <c r="F651" s="19"/>
      <c r="G651" s="19"/>
    </row>
    <row r="652" spans="2:7" ht="15" customHeight="1" x14ac:dyDescent="0.25">
      <c r="B652" s="45"/>
      <c r="C652" s="19"/>
      <c r="D652" s="46"/>
      <c r="E652" s="46"/>
      <c r="F652" s="19"/>
      <c r="G652" s="19"/>
    </row>
    <row r="653" spans="2:7" ht="15" customHeight="1" x14ac:dyDescent="0.25">
      <c r="B653" s="45"/>
      <c r="C653" s="19"/>
      <c r="D653" s="46"/>
      <c r="E653" s="46"/>
      <c r="F653" s="19"/>
      <c r="G653" s="19"/>
    </row>
    <row r="654" spans="2:7" ht="15" customHeight="1" x14ac:dyDescent="0.25">
      <c r="B654" s="45"/>
      <c r="C654" s="19"/>
      <c r="D654" s="46"/>
      <c r="E654" s="46"/>
      <c r="F654" s="19"/>
      <c r="G654" s="19"/>
    </row>
    <row r="655" spans="2:7" ht="15" customHeight="1" x14ac:dyDescent="0.25">
      <c r="B655" s="45"/>
      <c r="C655" s="19"/>
      <c r="D655" s="46"/>
      <c r="E655" s="46"/>
      <c r="F655" s="19"/>
      <c r="G655" s="19"/>
    </row>
    <row r="656" spans="2:7" ht="15" customHeight="1" x14ac:dyDescent="0.25">
      <c r="B656" s="45"/>
      <c r="C656" s="19"/>
      <c r="D656" s="46"/>
      <c r="E656" s="46"/>
      <c r="F656" s="19"/>
      <c r="G656" s="19"/>
    </row>
    <row r="657" spans="2:7" ht="15" customHeight="1" x14ac:dyDescent="0.25">
      <c r="B657" s="45"/>
      <c r="C657" s="19"/>
      <c r="D657" s="46"/>
      <c r="E657" s="46"/>
      <c r="F657" s="19"/>
      <c r="G657" s="19"/>
    </row>
    <row r="658" spans="2:7" ht="15" customHeight="1" x14ac:dyDescent="0.25">
      <c r="B658" s="45"/>
      <c r="C658" s="19"/>
      <c r="D658" s="46"/>
      <c r="E658" s="46"/>
      <c r="F658" s="19"/>
      <c r="G658" s="19"/>
    </row>
    <row r="659" spans="2:7" ht="15" customHeight="1" x14ac:dyDescent="0.25">
      <c r="B659" s="45"/>
      <c r="C659" s="19"/>
      <c r="D659" s="46"/>
      <c r="E659" s="46"/>
      <c r="F659" s="19"/>
      <c r="G659" s="19"/>
    </row>
    <row r="660" spans="2:7" ht="15" customHeight="1" x14ac:dyDescent="0.25">
      <c r="B660" s="45"/>
      <c r="C660" s="19"/>
      <c r="D660" s="46"/>
      <c r="E660" s="46"/>
      <c r="F660" s="19"/>
      <c r="G660" s="19"/>
    </row>
    <row r="661" spans="2:7" ht="15" customHeight="1" x14ac:dyDescent="0.25">
      <c r="B661" s="45"/>
      <c r="C661" s="19"/>
      <c r="D661" s="46"/>
      <c r="E661" s="46"/>
      <c r="F661" s="19"/>
      <c r="G661" s="19"/>
    </row>
    <row r="662" spans="2:7" ht="15" customHeight="1" x14ac:dyDescent="0.25">
      <c r="B662" s="45"/>
      <c r="C662" s="19"/>
      <c r="D662" s="46"/>
      <c r="E662" s="46"/>
      <c r="F662" s="19"/>
      <c r="G662" s="19"/>
    </row>
    <row r="663" spans="2:7" ht="15" customHeight="1" x14ac:dyDescent="0.25">
      <c r="B663" s="45"/>
      <c r="C663" s="19"/>
      <c r="D663" s="46"/>
      <c r="E663" s="46"/>
      <c r="F663" s="19"/>
      <c r="G663" s="19"/>
    </row>
    <row r="664" spans="2:7" ht="15" customHeight="1" x14ac:dyDescent="0.25">
      <c r="B664" s="45"/>
      <c r="C664" s="19"/>
      <c r="D664" s="46"/>
      <c r="E664" s="46"/>
      <c r="F664" s="19"/>
      <c r="G664" s="19"/>
    </row>
    <row r="665" spans="2:7" ht="15" customHeight="1" x14ac:dyDescent="0.25">
      <c r="B665" s="45"/>
      <c r="C665" s="19"/>
      <c r="D665" s="46"/>
      <c r="E665" s="46"/>
      <c r="F665" s="19"/>
      <c r="G665" s="19"/>
    </row>
    <row r="666" spans="2:7" ht="15" customHeight="1" x14ac:dyDescent="0.25">
      <c r="B666" s="45"/>
      <c r="C666" s="19"/>
      <c r="D666" s="46"/>
      <c r="E666" s="46"/>
      <c r="F666" s="19"/>
      <c r="G666" s="19"/>
    </row>
    <row r="667" spans="2:7" ht="15" customHeight="1" x14ac:dyDescent="0.25">
      <c r="B667" s="45"/>
      <c r="C667" s="19"/>
      <c r="D667" s="46"/>
      <c r="E667" s="46"/>
      <c r="F667" s="19"/>
      <c r="G667" s="19"/>
    </row>
    <row r="668" spans="2:7" ht="15" customHeight="1" x14ac:dyDescent="0.25">
      <c r="B668" s="45"/>
      <c r="C668" s="19"/>
      <c r="D668" s="46"/>
      <c r="E668" s="46"/>
      <c r="F668" s="19"/>
      <c r="G668" s="19"/>
    </row>
    <row r="669" spans="2:7" ht="15" customHeight="1" x14ac:dyDescent="0.25">
      <c r="B669" s="45"/>
      <c r="C669" s="19"/>
      <c r="D669" s="46"/>
      <c r="E669" s="46"/>
      <c r="F669" s="19"/>
      <c r="G669" s="19"/>
    </row>
    <row r="670" spans="2:7" ht="15" customHeight="1" x14ac:dyDescent="0.25">
      <c r="B670" s="45"/>
      <c r="C670" s="19"/>
      <c r="D670" s="46"/>
      <c r="E670" s="46"/>
      <c r="F670" s="19"/>
      <c r="G670" s="19"/>
    </row>
    <row r="671" spans="2:7" ht="15" customHeight="1" x14ac:dyDescent="0.25">
      <c r="B671" s="45"/>
      <c r="C671" s="19"/>
      <c r="D671" s="46"/>
      <c r="E671" s="46"/>
      <c r="F671" s="19"/>
      <c r="G671" s="19"/>
    </row>
    <row r="672" spans="2:7" ht="15" customHeight="1" x14ac:dyDescent="0.25">
      <c r="B672" s="45"/>
      <c r="C672" s="19"/>
      <c r="D672" s="46"/>
      <c r="E672" s="46"/>
      <c r="F672" s="19"/>
      <c r="G672" s="19"/>
    </row>
    <row r="673" spans="2:7" ht="15" customHeight="1" x14ac:dyDescent="0.25">
      <c r="B673" s="45"/>
      <c r="C673" s="19"/>
      <c r="D673" s="46"/>
      <c r="E673" s="46"/>
      <c r="F673" s="19"/>
      <c r="G673" s="19"/>
    </row>
    <row r="674" spans="2:7" ht="15" customHeight="1" x14ac:dyDescent="0.25">
      <c r="B674" s="45"/>
      <c r="C674" s="19"/>
      <c r="D674" s="46"/>
      <c r="E674" s="46"/>
      <c r="F674" s="19"/>
      <c r="G674" s="19"/>
    </row>
    <row r="675" spans="2:7" ht="15" customHeight="1" x14ac:dyDescent="0.25">
      <c r="B675" s="45"/>
      <c r="C675" s="19"/>
      <c r="D675" s="46"/>
      <c r="E675" s="46"/>
      <c r="F675" s="19"/>
      <c r="G675" s="19"/>
    </row>
    <row r="676" spans="2:7" ht="15" customHeight="1" x14ac:dyDescent="0.25">
      <c r="B676" s="45"/>
      <c r="C676" s="19"/>
      <c r="D676" s="46"/>
      <c r="E676" s="46"/>
      <c r="F676" s="19"/>
      <c r="G676" s="19"/>
    </row>
    <row r="677" spans="2:7" ht="15" customHeight="1" x14ac:dyDescent="0.25">
      <c r="B677" s="45"/>
      <c r="C677" s="19"/>
      <c r="D677" s="46"/>
      <c r="E677" s="46"/>
      <c r="F677" s="19"/>
      <c r="G677" s="19"/>
    </row>
    <row r="678" spans="2:7" ht="15" customHeight="1" x14ac:dyDescent="0.25">
      <c r="B678" s="45"/>
      <c r="C678" s="19"/>
      <c r="D678" s="46"/>
      <c r="E678" s="46"/>
      <c r="F678" s="19"/>
      <c r="G678" s="19"/>
    </row>
    <row r="679" spans="2:7" ht="15" customHeight="1" x14ac:dyDescent="0.25">
      <c r="B679" s="45"/>
      <c r="C679" s="19"/>
      <c r="D679" s="46"/>
      <c r="E679" s="46"/>
      <c r="F679" s="19"/>
      <c r="G679" s="19"/>
    </row>
    <row r="680" spans="2:7" ht="15" customHeight="1" x14ac:dyDescent="0.25">
      <c r="B680" s="45"/>
      <c r="C680" s="19"/>
      <c r="D680" s="46"/>
      <c r="E680" s="46"/>
      <c r="F680" s="19"/>
      <c r="G680" s="19"/>
    </row>
    <row r="681" spans="2:7" ht="15" customHeight="1" x14ac:dyDescent="0.25">
      <c r="B681" s="45"/>
      <c r="C681" s="19"/>
      <c r="D681" s="46"/>
      <c r="E681" s="46"/>
      <c r="F681" s="19"/>
      <c r="G681" s="19"/>
    </row>
    <row r="682" spans="2:7" ht="15" customHeight="1" x14ac:dyDescent="0.25">
      <c r="B682" s="45"/>
      <c r="C682" s="19"/>
      <c r="D682" s="46"/>
      <c r="E682" s="46"/>
      <c r="F682" s="19"/>
      <c r="G682" s="19"/>
    </row>
    <row r="683" spans="2:7" ht="15" customHeight="1" x14ac:dyDescent="0.25">
      <c r="B683" s="45"/>
      <c r="C683" s="19"/>
      <c r="D683" s="46"/>
      <c r="E683" s="46"/>
      <c r="F683" s="19"/>
      <c r="G683" s="19"/>
    </row>
    <row r="684" spans="2:7" ht="15" customHeight="1" x14ac:dyDescent="0.25">
      <c r="B684" s="45"/>
      <c r="C684" s="19"/>
      <c r="D684" s="46"/>
      <c r="E684" s="46"/>
      <c r="F684" s="19"/>
      <c r="G684" s="19"/>
    </row>
    <row r="685" spans="2:7" ht="15" customHeight="1" x14ac:dyDescent="0.25">
      <c r="B685" s="45"/>
      <c r="C685" s="19"/>
      <c r="D685" s="46"/>
      <c r="E685" s="46"/>
      <c r="F685" s="19"/>
      <c r="G685" s="19"/>
    </row>
    <row r="686" spans="2:7" ht="15" customHeight="1" x14ac:dyDescent="0.25">
      <c r="B686" s="45"/>
      <c r="C686" s="19"/>
      <c r="D686" s="46"/>
      <c r="E686" s="46"/>
      <c r="F686" s="19"/>
      <c r="G686" s="19"/>
    </row>
    <row r="687" spans="2:7" ht="15" customHeight="1" x14ac:dyDescent="0.25">
      <c r="B687" s="45"/>
      <c r="C687" s="19"/>
      <c r="D687" s="46"/>
      <c r="E687" s="46"/>
      <c r="F687" s="19"/>
      <c r="G687" s="19"/>
    </row>
    <row r="688" spans="2:7" ht="15" customHeight="1" x14ac:dyDescent="0.25">
      <c r="B688" s="45"/>
      <c r="C688" s="19"/>
      <c r="D688" s="46"/>
      <c r="E688" s="46"/>
      <c r="F688" s="19"/>
      <c r="G688" s="19"/>
    </row>
    <row r="689" spans="2:7" ht="15" customHeight="1" x14ac:dyDescent="0.25">
      <c r="B689" s="45"/>
      <c r="C689" s="19"/>
      <c r="D689" s="46"/>
      <c r="E689" s="46"/>
      <c r="F689" s="19"/>
      <c r="G689" s="19"/>
    </row>
    <row r="690" spans="2:7" ht="15" customHeight="1" x14ac:dyDescent="0.25">
      <c r="B690" s="45"/>
      <c r="C690" s="19"/>
      <c r="D690" s="46"/>
      <c r="E690" s="46"/>
      <c r="F690" s="19"/>
      <c r="G690" s="19"/>
    </row>
    <row r="691" spans="2:7" ht="15" customHeight="1" x14ac:dyDescent="0.25">
      <c r="B691" s="45"/>
      <c r="C691" s="19"/>
      <c r="D691" s="46"/>
      <c r="E691" s="46"/>
      <c r="F691" s="19"/>
      <c r="G691" s="19"/>
    </row>
    <row r="692" spans="2:7" ht="15" customHeight="1" x14ac:dyDescent="0.25">
      <c r="B692" s="45"/>
      <c r="C692" s="19"/>
      <c r="D692" s="46"/>
      <c r="E692" s="46"/>
      <c r="F692" s="19"/>
      <c r="G692" s="19"/>
    </row>
    <row r="693" spans="2:7" ht="15" customHeight="1" x14ac:dyDescent="0.25">
      <c r="B693" s="45"/>
      <c r="C693" s="19"/>
      <c r="D693" s="46"/>
      <c r="E693" s="46"/>
      <c r="F693" s="19"/>
      <c r="G693" s="19"/>
    </row>
    <row r="694" spans="2:7" ht="15" customHeight="1" x14ac:dyDescent="0.25">
      <c r="B694" s="45"/>
      <c r="C694" s="19"/>
      <c r="D694" s="46"/>
      <c r="E694" s="46"/>
      <c r="F694" s="19"/>
      <c r="G694" s="19"/>
    </row>
    <row r="695" spans="2:7" ht="15" customHeight="1" x14ac:dyDescent="0.25">
      <c r="B695" s="45"/>
      <c r="C695" s="19"/>
      <c r="D695" s="46"/>
      <c r="E695" s="46"/>
      <c r="F695" s="19"/>
      <c r="G695" s="19"/>
    </row>
    <row r="696" spans="2:7" ht="15" customHeight="1" x14ac:dyDescent="0.25">
      <c r="B696" s="45"/>
      <c r="C696" s="19"/>
      <c r="D696" s="46"/>
      <c r="E696" s="46"/>
      <c r="F696" s="19"/>
      <c r="G696" s="19"/>
    </row>
    <row r="697" spans="2:7" ht="15" customHeight="1" x14ac:dyDescent="0.25">
      <c r="B697" s="45"/>
      <c r="C697" s="19"/>
      <c r="D697" s="46"/>
      <c r="E697" s="46"/>
      <c r="F697" s="19"/>
      <c r="G697" s="19"/>
    </row>
    <row r="698" spans="2:7" ht="15" customHeight="1" x14ac:dyDescent="0.25">
      <c r="B698" s="45"/>
      <c r="C698" s="19"/>
      <c r="D698" s="46"/>
      <c r="E698" s="46"/>
      <c r="F698" s="19"/>
      <c r="G698" s="19"/>
    </row>
    <row r="699" spans="2:7" ht="15" customHeight="1" x14ac:dyDescent="0.25">
      <c r="B699" s="45"/>
      <c r="C699" s="19"/>
      <c r="D699" s="46"/>
      <c r="E699" s="46"/>
      <c r="F699" s="19"/>
      <c r="G699" s="19"/>
    </row>
    <row r="700" spans="2:7" ht="15" customHeight="1" x14ac:dyDescent="0.25">
      <c r="B700" s="45"/>
      <c r="C700" s="19"/>
      <c r="D700" s="46"/>
      <c r="E700" s="46"/>
      <c r="F700" s="19"/>
      <c r="G700" s="19"/>
    </row>
    <row r="701" spans="2:7" ht="15" customHeight="1" x14ac:dyDescent="0.25">
      <c r="B701" s="45"/>
      <c r="C701" s="19"/>
      <c r="D701" s="46"/>
      <c r="E701" s="46"/>
      <c r="F701" s="19"/>
      <c r="G701" s="19"/>
    </row>
    <row r="702" spans="2:7" ht="15" customHeight="1" x14ac:dyDescent="0.25">
      <c r="B702" s="45"/>
      <c r="C702" s="19"/>
      <c r="D702" s="46"/>
      <c r="E702" s="46"/>
      <c r="F702" s="19"/>
      <c r="G702" s="19"/>
    </row>
    <row r="703" spans="2:7" ht="15" customHeight="1" x14ac:dyDescent="0.25">
      <c r="B703" s="45"/>
      <c r="C703" s="19"/>
      <c r="D703" s="46"/>
      <c r="E703" s="46"/>
      <c r="F703" s="19"/>
      <c r="G703" s="19"/>
    </row>
    <row r="704" spans="2:7" ht="15" customHeight="1" x14ac:dyDescent="0.25">
      <c r="B704" s="45"/>
      <c r="C704" s="19"/>
      <c r="D704" s="46"/>
      <c r="E704" s="46"/>
      <c r="F704" s="19"/>
      <c r="G704" s="19"/>
    </row>
    <row r="705" spans="2:7" ht="15" customHeight="1" x14ac:dyDescent="0.25">
      <c r="B705" s="45"/>
      <c r="C705" s="19"/>
      <c r="D705" s="46"/>
      <c r="E705" s="46"/>
      <c r="F705" s="19"/>
      <c r="G705" s="19"/>
    </row>
    <row r="706" spans="2:7" ht="15" customHeight="1" x14ac:dyDescent="0.25">
      <c r="B706" s="45"/>
      <c r="C706" s="19"/>
      <c r="D706" s="46"/>
      <c r="E706" s="46"/>
      <c r="F706" s="19"/>
      <c r="G706" s="19"/>
    </row>
    <row r="707" spans="2:7" ht="15" customHeight="1" x14ac:dyDescent="0.25">
      <c r="B707" s="45"/>
      <c r="C707" s="19"/>
      <c r="D707" s="46"/>
      <c r="E707" s="46"/>
      <c r="F707" s="19"/>
      <c r="G707" s="19"/>
    </row>
    <row r="708" spans="2:7" ht="15" customHeight="1" x14ac:dyDescent="0.25">
      <c r="B708" s="45"/>
      <c r="C708" s="19"/>
      <c r="D708" s="46"/>
      <c r="E708" s="46"/>
      <c r="F708" s="19"/>
      <c r="G708" s="19"/>
    </row>
    <row r="709" spans="2:7" ht="15" customHeight="1" x14ac:dyDescent="0.25">
      <c r="B709" s="45"/>
      <c r="C709" s="19"/>
      <c r="D709" s="46"/>
      <c r="E709" s="46"/>
      <c r="F709" s="19"/>
      <c r="G709" s="19"/>
    </row>
    <row r="710" spans="2:7" ht="15" customHeight="1" x14ac:dyDescent="0.25">
      <c r="B710" s="45"/>
      <c r="C710" s="19"/>
      <c r="D710" s="46"/>
      <c r="E710" s="46"/>
      <c r="F710" s="19"/>
      <c r="G710" s="19"/>
    </row>
    <row r="711" spans="2:7" ht="15" customHeight="1" x14ac:dyDescent="0.25">
      <c r="B711" s="45"/>
      <c r="C711" s="19"/>
      <c r="D711" s="46"/>
      <c r="E711" s="46"/>
      <c r="F711" s="19"/>
      <c r="G711" s="19"/>
    </row>
    <row r="712" spans="2:7" ht="15" customHeight="1" x14ac:dyDescent="0.25">
      <c r="B712" s="45"/>
      <c r="C712" s="19"/>
      <c r="D712" s="46"/>
      <c r="E712" s="46"/>
      <c r="F712" s="19"/>
      <c r="G712" s="19"/>
    </row>
    <row r="713" spans="2:7" ht="15" customHeight="1" x14ac:dyDescent="0.25">
      <c r="B713" s="45"/>
      <c r="C713" s="19"/>
      <c r="D713" s="46"/>
      <c r="E713" s="46"/>
      <c r="F713" s="19"/>
      <c r="G713" s="19"/>
    </row>
    <row r="714" spans="2:7" ht="15" customHeight="1" x14ac:dyDescent="0.25">
      <c r="B714" s="45"/>
      <c r="C714" s="19"/>
      <c r="D714" s="46"/>
      <c r="E714" s="46"/>
      <c r="F714" s="19"/>
      <c r="G714" s="19"/>
    </row>
    <row r="715" spans="2:7" ht="15" customHeight="1" x14ac:dyDescent="0.25">
      <c r="B715" s="45"/>
      <c r="C715" s="19"/>
      <c r="D715" s="46"/>
      <c r="E715" s="46"/>
      <c r="F715" s="19"/>
      <c r="G715" s="19"/>
    </row>
    <row r="716" spans="2:7" ht="15" customHeight="1" x14ac:dyDescent="0.25">
      <c r="B716" s="45"/>
      <c r="C716" s="19"/>
      <c r="D716" s="46"/>
      <c r="E716" s="46"/>
      <c r="F716" s="19"/>
      <c r="G716" s="19"/>
    </row>
    <row r="717" spans="2:7" ht="15" customHeight="1" x14ac:dyDescent="0.25">
      <c r="B717" s="45"/>
      <c r="C717" s="19"/>
      <c r="D717" s="46"/>
      <c r="E717" s="46"/>
      <c r="F717" s="19"/>
      <c r="G717" s="19"/>
    </row>
    <row r="718" spans="2:7" ht="15" customHeight="1" x14ac:dyDescent="0.25">
      <c r="B718" s="45"/>
      <c r="C718" s="19"/>
      <c r="D718" s="46"/>
      <c r="E718" s="46"/>
      <c r="F718" s="19"/>
      <c r="G718" s="19"/>
    </row>
    <row r="719" spans="2:7" ht="15" customHeight="1" x14ac:dyDescent="0.25">
      <c r="B719" s="45"/>
      <c r="C719" s="19"/>
      <c r="D719" s="46"/>
      <c r="E719" s="46"/>
      <c r="F719" s="19"/>
      <c r="G719" s="19"/>
    </row>
    <row r="720" spans="2:7" ht="15" customHeight="1" x14ac:dyDescent="0.25">
      <c r="B720" s="45"/>
      <c r="C720" s="19"/>
      <c r="D720" s="46"/>
      <c r="E720" s="46"/>
      <c r="F720" s="19"/>
      <c r="G720" s="19"/>
    </row>
    <row r="721" spans="2:7" ht="15" customHeight="1" x14ac:dyDescent="0.25">
      <c r="B721" s="45"/>
      <c r="C721" s="19"/>
      <c r="D721" s="46"/>
      <c r="E721" s="46"/>
      <c r="F721" s="19"/>
      <c r="G721" s="19"/>
    </row>
    <row r="722" spans="2:7" ht="15" customHeight="1" x14ac:dyDescent="0.25">
      <c r="B722" s="45"/>
      <c r="C722" s="19"/>
      <c r="D722" s="46"/>
      <c r="E722" s="46"/>
      <c r="F722" s="19"/>
      <c r="G722" s="19"/>
    </row>
    <row r="723" spans="2:7" ht="15" customHeight="1" x14ac:dyDescent="0.25">
      <c r="B723" s="45"/>
      <c r="C723" s="19"/>
      <c r="D723" s="46"/>
      <c r="E723" s="46"/>
      <c r="F723" s="19"/>
      <c r="G723" s="19"/>
    </row>
    <row r="724" spans="2:7" ht="15" customHeight="1" x14ac:dyDescent="0.25">
      <c r="B724" s="45"/>
      <c r="C724" s="19"/>
      <c r="D724" s="46"/>
      <c r="E724" s="46"/>
      <c r="F724" s="19"/>
      <c r="G724" s="19"/>
    </row>
    <row r="725" spans="2:7" ht="15" customHeight="1" x14ac:dyDescent="0.25">
      <c r="B725" s="45"/>
      <c r="C725" s="19"/>
      <c r="D725" s="46"/>
      <c r="E725" s="46"/>
      <c r="F725" s="19"/>
      <c r="G725" s="19"/>
    </row>
    <row r="726" spans="2:7" ht="15" customHeight="1" x14ac:dyDescent="0.25">
      <c r="B726" s="45"/>
      <c r="C726" s="19"/>
      <c r="D726" s="46"/>
      <c r="E726" s="46"/>
      <c r="F726" s="19"/>
      <c r="G726" s="19"/>
    </row>
    <row r="727" spans="2:7" ht="15" customHeight="1" x14ac:dyDescent="0.25">
      <c r="B727" s="45"/>
      <c r="C727" s="19"/>
      <c r="D727" s="46"/>
      <c r="E727" s="46"/>
      <c r="F727" s="19"/>
      <c r="G727" s="19"/>
    </row>
    <row r="728" spans="2:7" ht="15" customHeight="1" x14ac:dyDescent="0.25">
      <c r="B728" s="45"/>
      <c r="C728" s="19"/>
      <c r="D728" s="46"/>
      <c r="E728" s="46"/>
      <c r="F728" s="19"/>
      <c r="G728" s="19"/>
    </row>
  </sheetData>
  <mergeCells count="21">
    <mergeCell ref="B16:F16"/>
    <mergeCell ref="B3:B4"/>
    <mergeCell ref="B8:G8"/>
    <mergeCell ref="B22:F22"/>
    <mergeCell ref="B18:F18"/>
    <mergeCell ref="B37:F37"/>
    <mergeCell ref="B30:F30"/>
    <mergeCell ref="B24:F24"/>
    <mergeCell ref="B20:F20"/>
    <mergeCell ref="C3:C4"/>
    <mergeCell ref="B33:F33"/>
    <mergeCell ref="E3:E4"/>
    <mergeCell ref="B35:F35"/>
    <mergeCell ref="B29:G29"/>
    <mergeCell ref="B12:F12"/>
    <mergeCell ref="B9:G9"/>
    <mergeCell ref="D3:D4"/>
    <mergeCell ref="B14:F14"/>
    <mergeCell ref="B6:G6"/>
    <mergeCell ref="B5:G5"/>
    <mergeCell ref="B10:F10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CTRA. GUADALMAR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BONILLA</dc:creator>
  <cp:lastModifiedBy>GARPUL</cp:lastModifiedBy>
  <cp:revision>0</cp:revision>
  <dcterms:created xsi:type="dcterms:W3CDTF">2019-10-01T10:42:15Z</dcterms:created>
  <dcterms:modified xsi:type="dcterms:W3CDTF">2026-04-15T13:03:47Z</dcterms:modified>
  <dc:language>en-US</dc:language>
</cp:coreProperties>
</file>