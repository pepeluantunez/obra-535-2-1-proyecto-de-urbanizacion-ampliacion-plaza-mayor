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1.-Red de Alumbrado\"/>
    </mc:Choice>
  </mc:AlternateContent>
  <xr:revisionPtr revIDLastSave="0" documentId="13_ncr:1_{0F945CC2-8EB6-4262-8EBA-7C2C05AF6535}" xr6:coauthVersionLast="47" xr6:coauthVersionMax="47" xr10:uidLastSave="{00000000-0000-0000-0000-000000000000}"/>
  <bookViews>
    <workbookView xWindow="-28920" yWindow="-120" windowWidth="29040" windowHeight="15720" tabRatio="938" activeTab="15" xr2:uid="{00000000-000D-0000-FFFF-FFFF00000000}"/>
  </bookViews>
  <sheets>
    <sheet name="Sección 1.1" sheetId="49" r:id="rId1"/>
    <sheet name="Sección 1.3" sheetId="47" r:id="rId2"/>
    <sheet name="Sección 1.4" sheetId="24" r:id="rId3"/>
    <sheet name="Sección 1.6" sheetId="48" r:id="rId4"/>
    <sheet name="Sección 2.1" sheetId="50" r:id="rId5"/>
    <sheet name="Sección 2.2" sheetId="51" r:id="rId6"/>
    <sheet name="Sección 2.3" sheetId="52" r:id="rId7"/>
    <sheet name="Sección 2.4" sheetId="53" r:id="rId8"/>
    <sheet name="Rotonda puente" sheetId="54" r:id="rId9"/>
    <sheet name="Rotonda Guadalmar" sheetId="55" r:id="rId10"/>
    <sheet name="Vial mixto" sheetId="42" r:id="rId11"/>
    <sheet name="CE-1" sheetId="43" r:id="rId12"/>
    <sheet name="ZLP" sheetId="44" r:id="rId13"/>
    <sheet name="Zona juegos" sheetId="45" r:id="rId14"/>
    <sheet name="Estancia" sheetId="46" r:id="rId15"/>
    <sheet name="TRAZABILIDAD" sheetId="56" r:id="rId16"/>
  </sheets>
  <definedNames>
    <definedName name="_xlnm.Print_Area" localSheetId="11">'CE-1'!$C$1:$F$30</definedName>
    <definedName name="_xlnm.Print_Area" localSheetId="14">Estancia!$C$1:$F$30</definedName>
    <definedName name="_xlnm.Print_Area" localSheetId="9">'Rotonda Guadalmar'!$C$1:$F$30</definedName>
    <definedName name="_xlnm.Print_Area" localSheetId="8">'Rotonda puente'!$C$1:$F$30</definedName>
    <definedName name="_xlnm.Print_Area" localSheetId="0">'Sección 1.1'!$C$1:$F$30</definedName>
    <definedName name="_xlnm.Print_Area" localSheetId="1">'Sección 1.3'!$C$1:$F$30</definedName>
    <definedName name="_xlnm.Print_Area" localSheetId="2">'Sección 1.4'!$C$1:$F$30</definedName>
    <definedName name="_xlnm.Print_Area" localSheetId="3">'Sección 1.6'!$C$1:$F$30</definedName>
    <definedName name="_xlnm.Print_Area" localSheetId="4">'Sección 2.1'!$C$1:$F$30</definedName>
    <definedName name="_xlnm.Print_Area" localSheetId="5">'Sección 2.2'!$C$1:$F$30</definedName>
    <definedName name="_xlnm.Print_Area" localSheetId="6">'Sección 2.3'!$C$1:$F$30</definedName>
    <definedName name="_xlnm.Print_Area" localSheetId="7">'Sección 2.4'!$C$1:$F$30</definedName>
    <definedName name="_xlnm.Print_Area" localSheetId="10">'Vial mixto'!$C$1:$F$30</definedName>
    <definedName name="_xlnm.Print_Area" localSheetId="12">ZLP!$C$1:$F$30</definedName>
    <definedName name="_xlnm.Print_Area" localSheetId="13">'Zona juegos'!$C$1:$F$30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5" l="1"/>
  <c r="F22" i="55"/>
  <c r="F19" i="55"/>
  <c r="I24" i="55"/>
  <c r="H24" i="55"/>
  <c r="F21" i="55"/>
  <c r="L20" i="55"/>
  <c r="K20" i="55"/>
  <c r="I20" i="55"/>
  <c r="H20" i="55"/>
  <c r="D9" i="55"/>
  <c r="D7" i="55"/>
  <c r="D6" i="55"/>
  <c r="D5" i="55"/>
  <c r="D4" i="55"/>
  <c r="F19" i="54"/>
  <c r="F26" i="54"/>
  <c r="F22" i="54"/>
  <c r="I24" i="54"/>
  <c r="H24" i="54"/>
  <c r="F21" i="54"/>
  <c r="L20" i="54"/>
  <c r="K20" i="54"/>
  <c r="I20" i="54"/>
  <c r="H20" i="54"/>
  <c r="D9" i="54"/>
  <c r="D7" i="54"/>
  <c r="D5" i="54"/>
  <c r="D4" i="54"/>
  <c r="F26" i="49"/>
  <c r="F22" i="49"/>
  <c r="F19" i="53"/>
  <c r="F22" i="53"/>
  <c r="F26" i="53"/>
  <c r="I24" i="53"/>
  <c r="H24" i="53"/>
  <c r="F21" i="53"/>
  <c r="L20" i="53"/>
  <c r="K20" i="53"/>
  <c r="I20" i="53"/>
  <c r="H20" i="53"/>
  <c r="D9" i="53"/>
  <c r="D7" i="53"/>
  <c r="D5" i="53"/>
  <c r="D4" i="53"/>
  <c r="F19" i="52"/>
  <c r="F22" i="52"/>
  <c r="F26" i="52"/>
  <c r="I24" i="52"/>
  <c r="H24" i="52"/>
  <c r="F21" i="52"/>
  <c r="L20" i="52"/>
  <c r="K20" i="52"/>
  <c r="I20" i="52"/>
  <c r="H20" i="52"/>
  <c r="D9" i="52"/>
  <c r="D7" i="52"/>
  <c r="D6" i="52"/>
  <c r="D5" i="52"/>
  <c r="D4" i="52"/>
  <c r="F26" i="51"/>
  <c r="F22" i="51"/>
  <c r="F19" i="51"/>
  <c r="I24" i="51"/>
  <c r="H24" i="51"/>
  <c r="F21" i="51"/>
  <c r="D6" i="51" s="1"/>
  <c r="L20" i="51"/>
  <c r="K20" i="51"/>
  <c r="I20" i="51"/>
  <c r="H20" i="51"/>
  <c r="D9" i="51"/>
  <c r="D7" i="51"/>
  <c r="D5" i="51"/>
  <c r="D4" i="51"/>
  <c r="F26" i="50"/>
  <c r="F19" i="50"/>
  <c r="I24" i="50"/>
  <c r="H24" i="50"/>
  <c r="F21" i="50"/>
  <c r="L20" i="50"/>
  <c r="K20" i="50"/>
  <c r="I20" i="50"/>
  <c r="H20" i="50"/>
  <c r="D9" i="50"/>
  <c r="D7" i="50"/>
  <c r="D6" i="50"/>
  <c r="D5" i="50"/>
  <c r="D4" i="50"/>
  <c r="F19" i="49"/>
  <c r="I24" i="49"/>
  <c r="H24" i="49"/>
  <c r="F21" i="49"/>
  <c r="L20" i="49"/>
  <c r="K20" i="49"/>
  <c r="I20" i="49"/>
  <c r="H20" i="49"/>
  <c r="D9" i="49"/>
  <c r="D7" i="49"/>
  <c r="D6" i="49"/>
  <c r="D5" i="49"/>
  <c r="D4" i="49"/>
  <c r="F26" i="48"/>
  <c r="F22" i="48"/>
  <c r="F19" i="48"/>
  <c r="I24" i="48"/>
  <c r="H24" i="48"/>
  <c r="F21" i="48"/>
  <c r="L20" i="48"/>
  <c r="K20" i="48"/>
  <c r="I20" i="48"/>
  <c r="H20" i="48"/>
  <c r="D9" i="48"/>
  <c r="D7" i="48"/>
  <c r="D6" i="48"/>
  <c r="D5" i="48"/>
  <c r="D4" i="48"/>
  <c r="F19" i="47"/>
  <c r="F26" i="47"/>
  <c r="I24" i="47"/>
  <c r="H24" i="47"/>
  <c r="F22" i="47"/>
  <c r="F21" i="47"/>
  <c r="L20" i="47"/>
  <c r="K20" i="47"/>
  <c r="I20" i="47"/>
  <c r="H20" i="47"/>
  <c r="D9" i="47"/>
  <c r="D7" i="47"/>
  <c r="D6" i="47"/>
  <c r="D5" i="47"/>
  <c r="D4" i="47"/>
  <c r="F26" i="24"/>
  <c r="F22" i="24"/>
  <c r="F19" i="24"/>
  <c r="F22" i="46"/>
  <c r="F26" i="46"/>
  <c r="I24" i="46"/>
  <c r="H24" i="46"/>
  <c r="F21" i="46"/>
  <c r="L20" i="46"/>
  <c r="D9" i="46" s="1"/>
  <c r="K20" i="46"/>
  <c r="I20" i="46"/>
  <c r="H20" i="46"/>
  <c r="D7" i="46"/>
  <c r="D5" i="46"/>
  <c r="D4" i="46"/>
  <c r="F26" i="45"/>
  <c r="F22" i="45"/>
  <c r="F21" i="45"/>
  <c r="I24" i="45"/>
  <c r="H24" i="45"/>
  <c r="L20" i="45"/>
  <c r="K20" i="45"/>
  <c r="I20" i="45"/>
  <c r="H20" i="45"/>
  <c r="D9" i="45"/>
  <c r="D7" i="45"/>
  <c r="D5" i="45"/>
  <c r="D4" i="45"/>
  <c r="F19" i="44"/>
  <c r="I24" i="44"/>
  <c r="H24" i="44"/>
  <c r="F21" i="44"/>
  <c r="L20" i="44"/>
  <c r="K20" i="44"/>
  <c r="I20" i="44"/>
  <c r="H20" i="44"/>
  <c r="D9" i="44"/>
  <c r="D7" i="44"/>
  <c r="D6" i="44"/>
  <c r="D5" i="44"/>
  <c r="D4" i="44"/>
  <c r="F26" i="42"/>
  <c r="F26" i="43"/>
  <c r="F19" i="43"/>
  <c r="I24" i="43"/>
  <c r="H24" i="43"/>
  <c r="F22" i="43"/>
  <c r="F21" i="43"/>
  <c r="L20" i="43"/>
  <c r="K20" i="43"/>
  <c r="I20" i="43"/>
  <c r="H20" i="43"/>
  <c r="D9" i="43"/>
  <c r="D7" i="43"/>
  <c r="D5" i="43"/>
  <c r="D4" i="43"/>
  <c r="F19" i="42"/>
  <c r="F22" i="42"/>
  <c r="I24" i="42"/>
  <c r="H24" i="42"/>
  <c r="F21" i="42"/>
  <c r="L20" i="42"/>
  <c r="K20" i="42"/>
  <c r="I20" i="42"/>
  <c r="H20" i="42"/>
  <c r="D9" i="42"/>
  <c r="D7" i="42"/>
  <c r="D6" i="42"/>
  <c r="D5" i="42"/>
  <c r="D4" i="42"/>
  <c r="D8" i="55" l="1"/>
  <c r="F30" i="55"/>
  <c r="D13" i="55" s="1"/>
  <c r="F25" i="55"/>
  <c r="D12" i="55"/>
  <c r="D10" i="55"/>
  <c r="N20" i="55" s="1"/>
  <c r="D11" i="55" s="1"/>
  <c r="F25" i="54"/>
  <c r="F30" i="54"/>
  <c r="D13" i="54" s="1"/>
  <c r="D6" i="54"/>
  <c r="F30" i="53"/>
  <c r="D13" i="53" s="1"/>
  <c r="F25" i="53"/>
  <c r="D6" i="53"/>
  <c r="D8" i="52"/>
  <c r="F25" i="52"/>
  <c r="F30" i="52"/>
  <c r="D13" i="52" s="1"/>
  <c r="D12" i="52"/>
  <c r="D10" i="52"/>
  <c r="N20" i="52" s="1"/>
  <c r="D11" i="52" s="1"/>
  <c r="D8" i="51"/>
  <c r="F30" i="51"/>
  <c r="D13" i="51" s="1"/>
  <c r="F25" i="51"/>
  <c r="D12" i="51"/>
  <c r="D10" i="51"/>
  <c r="N20" i="51" s="1"/>
  <c r="D11" i="51" s="1"/>
  <c r="D8" i="50"/>
  <c r="F30" i="50"/>
  <c r="D13" i="50" s="1"/>
  <c r="F25" i="50"/>
  <c r="D12" i="50" s="1"/>
  <c r="D10" i="50"/>
  <c r="N20" i="50" s="1"/>
  <c r="D11" i="50" s="1"/>
  <c r="D8" i="49"/>
  <c r="F30" i="49"/>
  <c r="D13" i="49" s="1"/>
  <c r="F25" i="49"/>
  <c r="D12" i="49" s="1"/>
  <c r="D10" i="49"/>
  <c r="N20" i="49" s="1"/>
  <c r="D11" i="49" s="1"/>
  <c r="F25" i="48"/>
  <c r="D8" i="48"/>
  <c r="F30" i="48"/>
  <c r="D13" i="48" s="1"/>
  <c r="D12" i="48"/>
  <c r="D10" i="48"/>
  <c r="N20" i="48" s="1"/>
  <c r="D11" i="48" s="1"/>
  <c r="D8" i="47"/>
  <c r="F30" i="47"/>
  <c r="D13" i="47" s="1"/>
  <c r="F25" i="47"/>
  <c r="D12" i="47" s="1"/>
  <c r="D10" i="47"/>
  <c r="N20" i="47" s="1"/>
  <c r="D11" i="47" s="1"/>
  <c r="F30" i="46"/>
  <c r="D13" i="46" s="1"/>
  <c r="D6" i="46"/>
  <c r="D10" i="46" s="1"/>
  <c r="N20" i="46" s="1"/>
  <c r="D11" i="46" s="1"/>
  <c r="F25" i="46"/>
  <c r="D8" i="46"/>
  <c r="D12" i="46"/>
  <c r="D6" i="45"/>
  <c r="F30" i="45"/>
  <c r="D13" i="45" s="1"/>
  <c r="F25" i="45"/>
  <c r="D8" i="44"/>
  <c r="F25" i="44"/>
  <c r="D12" i="44" s="1"/>
  <c r="F30" i="44"/>
  <c r="D13" i="44" s="1"/>
  <c r="D10" i="44"/>
  <c r="N20" i="44" s="1"/>
  <c r="D11" i="44" s="1"/>
  <c r="F30" i="43"/>
  <c r="D13" i="43" s="1"/>
  <c r="D6" i="43"/>
  <c r="F25" i="43"/>
  <c r="D8" i="42"/>
  <c r="F30" i="42"/>
  <c r="D13" i="42" s="1"/>
  <c r="F25" i="42"/>
  <c r="D12" i="42"/>
  <c r="D10" i="42"/>
  <c r="N20" i="42" s="1"/>
  <c r="D11" i="42" s="1"/>
  <c r="F21" i="24"/>
  <c r="F25" i="24" s="1"/>
  <c r="I24" i="24"/>
  <c r="H24" i="24"/>
  <c r="L20" i="24"/>
  <c r="K20" i="24"/>
  <c r="D9" i="24" s="1"/>
  <c r="I20" i="24"/>
  <c r="H20" i="24"/>
  <c r="D7" i="24" s="1"/>
  <c r="D5" i="24"/>
  <c r="D4" i="24"/>
  <c r="D8" i="54" l="1"/>
  <c r="D10" i="54"/>
  <c r="N20" i="54" s="1"/>
  <c r="D11" i="54" s="1"/>
  <c r="D12" i="54"/>
  <c r="D8" i="53"/>
  <c r="D12" i="53"/>
  <c r="D10" i="53"/>
  <c r="N20" i="53" s="1"/>
  <c r="D11" i="53" s="1"/>
  <c r="D12" i="45"/>
  <c r="D8" i="45"/>
  <c r="D10" i="45"/>
  <c r="N20" i="45" s="1"/>
  <c r="D11" i="45" s="1"/>
  <c r="D8" i="43"/>
  <c r="D10" i="43"/>
  <c r="N20" i="43" s="1"/>
  <c r="D11" i="43" s="1"/>
  <c r="D12" i="43"/>
  <c r="D6" i="24"/>
  <c r="D12" i="24" s="1"/>
  <c r="F30" i="24"/>
  <c r="D13" i="24" s="1"/>
  <c r="D8" i="24" l="1"/>
  <c r="D10" i="24"/>
  <c r="N20" i="24" s="1"/>
  <c r="D11" i="24" s="1"/>
</calcChain>
</file>

<file path=xl/sharedStrings.xml><?xml version="1.0" encoding="utf-8"?>
<sst xmlns="http://schemas.openxmlformats.org/spreadsheetml/2006/main" count="1327" uniqueCount="95">
  <si>
    <t>SITUACIÓN DE PROYECTO</t>
  </si>
  <si>
    <t xml:space="preserve">CLASE DE ALUMBRADO </t>
  </si>
  <si>
    <t>VALOR DE EFICIENCIA ENERGÉTICA =</t>
  </si>
  <si>
    <t>INDICE DE EFICIENCIA ENERGÉTICA =</t>
  </si>
  <si>
    <t>CLASIFICACIÓN ENERGÉTICA DE LA INSTALACIÓN =</t>
  </si>
  <si>
    <t xml:space="preserve">FACTOR DE UTILIZACIÓN = </t>
  </si>
  <si>
    <t>Iluminancia Media</t>
  </si>
  <si>
    <t xml:space="preserve">Superficie </t>
  </si>
  <si>
    <t>Dato</t>
  </si>
  <si>
    <t>Referencia</t>
  </si>
  <si>
    <t>Valor</t>
  </si>
  <si>
    <t>S</t>
  </si>
  <si>
    <t>Em</t>
  </si>
  <si>
    <t>Ud</t>
  </si>
  <si>
    <t>m2</t>
  </si>
  <si>
    <t>lux</t>
  </si>
  <si>
    <t>Potencia Instalada</t>
  </si>
  <si>
    <t>P</t>
  </si>
  <si>
    <t>Potencia lámpara</t>
  </si>
  <si>
    <t>Potencia equipo</t>
  </si>
  <si>
    <t>Pl</t>
  </si>
  <si>
    <t>Pe</t>
  </si>
  <si>
    <t>W</t>
  </si>
  <si>
    <t>Factor de mantenimiento</t>
  </si>
  <si>
    <t>Fm</t>
  </si>
  <si>
    <t>-</t>
  </si>
  <si>
    <t>Eficiencia lámpara</t>
  </si>
  <si>
    <r>
      <t>e</t>
    </r>
    <r>
      <rPr>
        <sz val="11"/>
        <color theme="1"/>
        <rFont val="Arial"/>
        <family val="2"/>
      </rPr>
      <t>l</t>
    </r>
  </si>
  <si>
    <t>lum/W</t>
  </si>
  <si>
    <t>Flujo lámpara</t>
  </si>
  <si>
    <t>lum</t>
  </si>
  <si>
    <t>Fl</t>
  </si>
  <si>
    <t>(autocalculado)</t>
  </si>
  <si>
    <t>Situación Proyecto</t>
  </si>
  <si>
    <t>Clase de Alumbrado</t>
  </si>
  <si>
    <t>Vial/Camino</t>
  </si>
  <si>
    <t>Em(lux)</t>
  </si>
  <si>
    <r>
      <rPr>
        <sz val="18"/>
        <color theme="1"/>
        <rFont val="Symbol"/>
        <family val="1"/>
        <charset val="2"/>
      </rPr>
      <t>e</t>
    </r>
    <r>
      <rPr>
        <sz val="11"/>
        <color theme="1"/>
        <rFont val="Arial"/>
        <family val="2"/>
      </rPr>
      <t>mínima</t>
    </r>
  </si>
  <si>
    <t>Tabla 1 - Eficiencia Viales</t>
  </si>
  <si>
    <t>Tabla 2 - Eficiencia Caminos</t>
  </si>
  <si>
    <t>VALOR DE EFICIENCIA ENERGÉTICA MÍNIMA =</t>
  </si>
  <si>
    <t>V/C</t>
  </si>
  <si>
    <t>V</t>
  </si>
  <si>
    <t>Vial</t>
  </si>
  <si>
    <t>Camino</t>
  </si>
  <si>
    <t>EFICIENCIA MÍNIMA</t>
  </si>
  <si>
    <t>C</t>
  </si>
  <si>
    <t>EFICIENCIA&gt;EFICIENCIA MÍNIMA</t>
  </si>
  <si>
    <t>B1</t>
  </si>
  <si>
    <t>EFICIENCIA ENERGÉTICA DE REFERENCIA</t>
  </si>
  <si>
    <t>EFICIENCIA REFERENCIA</t>
  </si>
  <si>
    <t>Tabla 3 - Eficiencia referencia Viales</t>
  </si>
  <si>
    <t>Tabla 3 - Eficiencia referencia caminos</t>
  </si>
  <si>
    <t>CALIFICACIÓN ENERGÉTICA</t>
  </si>
  <si>
    <t>Tabla 4 - Calificación Energética</t>
  </si>
  <si>
    <t>I. Eficiencia</t>
  </si>
  <si>
    <t>Calificación</t>
  </si>
  <si>
    <t>A</t>
  </si>
  <si>
    <t>B</t>
  </si>
  <si>
    <t>D</t>
  </si>
  <si>
    <t>E</t>
  </si>
  <si>
    <t>F</t>
  </si>
  <si>
    <t>G</t>
  </si>
  <si>
    <t>CALCULOS</t>
  </si>
  <si>
    <t>Tabla 1 - Potencia unitaria</t>
  </si>
  <si>
    <t>POTENCIA UNIT MÁXIMA</t>
  </si>
  <si>
    <t>Potencia unitaria (W/m²)</t>
  </si>
  <si>
    <t>POTENCIA UNITARIA&lt;POTENCIA UNITARIA MÁXIMA</t>
  </si>
  <si>
    <t>RESULTADO VIAL RV.01</t>
  </si>
  <si>
    <t>ME3c</t>
  </si>
  <si>
    <t>CE2</t>
  </si>
  <si>
    <t>E1</t>
  </si>
  <si>
    <t>Pu</t>
  </si>
  <si>
    <t>S1</t>
  </si>
  <si>
    <t>RESULTADO ZONA DE JUEGOS</t>
  </si>
  <si>
    <t>RESULTADO ZONA DE ESTANCIA</t>
  </si>
  <si>
    <t>RESULTADO CAMINO ZLP 8.1</t>
  </si>
  <si>
    <t>ME2</t>
  </si>
  <si>
    <t>SECCIÓN 1.4</t>
  </si>
  <si>
    <t>SECCIÓN 1.3</t>
  </si>
  <si>
    <t>SECCIÓN 1.6</t>
  </si>
  <si>
    <t>SECCIÓN 1.1</t>
  </si>
  <si>
    <t>SECCIÓN 2.1</t>
  </si>
  <si>
    <t>SECCIÓN 2.2</t>
  </si>
  <si>
    <t>SECCIÓN 2.3</t>
  </si>
  <si>
    <t>SECCIÓN 2.4</t>
  </si>
  <si>
    <t>ROTONDA PUENTE</t>
  </si>
  <si>
    <t>ROTONDA GUADALMAR</t>
  </si>
  <si>
    <t>PROYECTO ORDINARIO DE URBANIZACIÓN DE MEJORA DE LA CARRETERA DE GUADALMAR (SG.BM-3). MÁLAGA.</t>
  </si>
  <si>
    <t>Anexo 11: Red de alumbrado</t>
  </si>
  <si>
    <t>Libro de cálculo de eficiencia energética asociado al anejo 11.</t>
  </si>
  <si>
    <t>Documento auxiliar integrado en la trazabilidad documental del proyecto.</t>
  </si>
  <si>
    <t>Clave de proyecto: SG.BM-3</t>
  </si>
  <si>
    <t>Ubicacion: Mejora de la Carretera de Guadalmar, Malaga</t>
  </si>
  <si>
    <t>Actualizado: 2026-04-15 15:13:41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</si>
</sst>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  <font>
      <sz val="18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b/>
      <sz val="12"/>
      <color theme="1"/>
      <name val="Montserrat"/>
    </font>
    <font>
      <sz val="10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/>
      </bottom>
      <diagonal/>
    </border>
    <border>
      <left style="thin">
        <color theme="0" tint="-0.14993743705557422"/>
      </left>
      <right/>
      <top style="thin">
        <color theme="0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4" fillId="0" borderId="0" xfId="0" applyFont="1"/>
    <xf numFmtId="0" fontId="0" fillId="0" borderId="7" xfId="0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7" xfId="0" applyFill="1" applyBorder="1"/>
    <xf numFmtId="0" fontId="0" fillId="0" borderId="7" xfId="0" applyBorder="1"/>
    <xf numFmtId="0" fontId="1" fillId="0" borderId="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" fontId="0" fillId="0" borderId="7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4D4C-6FF8-4663-A4EE-726EE3E1E095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81</v>
      </c>
    </row>
    <row r="4" spans="3:4" x14ac:dyDescent="0.25">
      <c r="C4" s="9" t="s">
        <v>0</v>
      </c>
      <c r="D4" s="12" t="str">
        <f>'Sección 1.1'!$F$27</f>
        <v>B1</v>
      </c>
    </row>
    <row r="5" spans="3:4" x14ac:dyDescent="0.25">
      <c r="C5" s="10" t="s">
        <v>1</v>
      </c>
      <c r="D5" s="12" t="str">
        <f>'Sección 1.1'!$F$28</f>
        <v>ME2</v>
      </c>
    </row>
    <row r="6" spans="3:4" x14ac:dyDescent="0.25">
      <c r="C6" s="10" t="s">
        <v>2</v>
      </c>
      <c r="D6" s="13">
        <f>('Sección 1.1'!F19*'Sección 1.1'!F20)/'Sección 1.1'!F21</f>
        <v>48.517857142857146</v>
      </c>
    </row>
    <row r="7" spans="3:4" x14ac:dyDescent="0.25">
      <c r="C7" s="10" t="s">
        <v>40</v>
      </c>
      <c r="D7" s="12">
        <f>IF('Sección 1.1'!F29="v",'Sección 1.1'!H20,'Sección 1.1'!I20)</f>
        <v>32.200000000000003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1.1'!F29="v",'Sección 1.1'!K20,'Sección 1.1'!L20)</f>
        <v>40.799999999999997</v>
      </c>
    </row>
    <row r="10" spans="3:4" x14ac:dyDescent="0.25">
      <c r="C10" s="10" t="s">
        <v>3</v>
      </c>
      <c r="D10" s="14">
        <f>D6/D9</f>
        <v>1.1891631652661065</v>
      </c>
    </row>
    <row r="11" spans="3:4" x14ac:dyDescent="0.25">
      <c r="C11" s="10" t="s">
        <v>4</v>
      </c>
      <c r="D11" s="12" t="str">
        <f>'Sección 1.1'!N20</f>
        <v>A</v>
      </c>
    </row>
    <row r="12" spans="3:4" x14ac:dyDescent="0.25">
      <c r="C12" s="11" t="s">
        <v>5</v>
      </c>
      <c r="D12" s="14">
        <f>D6/(F25*F24)</f>
        <v>0.39187500000000003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19*16.5</f>
        <v>313.5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13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32.200000000000003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16.600000000000001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40.799999999999997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27.6</v>
      </c>
      <c r="N20" s="6" t="str">
        <f>IF('Sección 1.1'!$D$10&gt;='Sección 1.1'!M37,'Sección 1.1'!N37,IF(AND('Sección 1.1'!$D$10&gt;='Sección 1.1'!M38,'Sección 1.1'!$D$10&lt;'Sección 1.1'!M37),'Sección 1.1'!N38,IF(AND('Sección 1.1'!$D$10&gt;='Sección 1.1'!M39,'Sección 1.1'!$D$10&lt;'Sección 1.1'!M38),'Sección 1.1'!N39,IF(AND('Sección 1.1'!$D$10&gt;='Sección 1.1'!M40,'Sección 1.1'!$D$10&lt;'Sección 1.1'!M39),'Sección 1.1'!N40,IF(AND('Sección 1.1'!$D$10&gt;='Sección 1.1'!M41,'Sección 1.1'!$D$10&lt;'Sección 1.1'!M40),'Sección 1.1'!N41,IF(AND('Sección 1.1'!$D$10&gt;='Sección 1.1'!M42,'Sección 1.1'!$D$10&lt;'Sección 1.1'!M41),'Sección 1.1'!N42,N43))))))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84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33+51</f>
        <v>84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0.39800000000000002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0.78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154.76190476190476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8000+5000</f>
        <v>13000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0.26794258373205743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29" priority="2">
      <formula>ISERROR(D6)</formula>
    </cfRule>
  </conditionalFormatting>
  <conditionalFormatting sqref="D12:D13">
    <cfRule type="expression" dxfId="28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2288-24E4-49D8-8ED1-F7078AED3B11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79</v>
      </c>
    </row>
    <row r="4" spans="3:4" x14ac:dyDescent="0.25">
      <c r="C4" s="9" t="s">
        <v>0</v>
      </c>
      <c r="D4" s="12" t="str">
        <f>'Sección 1.3'!$F$27</f>
        <v>B1</v>
      </c>
    </row>
    <row r="5" spans="3:4" x14ac:dyDescent="0.25">
      <c r="C5" s="10" t="s">
        <v>1</v>
      </c>
      <c r="D5" s="12" t="str">
        <f>'Sección 1.3'!$F$28</f>
        <v>ME2</v>
      </c>
    </row>
    <row r="6" spans="3:4" x14ac:dyDescent="0.25">
      <c r="C6" s="10" t="s">
        <v>2</v>
      </c>
      <c r="D6" s="13">
        <f>('Sección 1.3'!F19*'Sección 1.3'!F20)/'Sección 1.3'!F21</f>
        <v>67.356862745098042</v>
      </c>
    </row>
    <row r="7" spans="3:4" x14ac:dyDescent="0.25">
      <c r="C7" s="10" t="s">
        <v>40</v>
      </c>
      <c r="D7" s="12">
        <f>IF('Sección 1.3'!F29="v",'Sección 1.3'!H20,'Sección 1.3'!I20)</f>
        <v>33.200000000000003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1.3'!F29="v",'Sección 1.3'!K20,'Sección 1.3'!L20)</f>
        <v>45.6</v>
      </c>
    </row>
    <row r="10" spans="3:4" x14ac:dyDescent="0.25">
      <c r="C10" s="10" t="s">
        <v>3</v>
      </c>
      <c r="D10" s="14">
        <f>D6/D9</f>
        <v>1.477124183006536</v>
      </c>
    </row>
    <row r="11" spans="3:4" x14ac:dyDescent="0.25">
      <c r="C11" s="10" t="s">
        <v>4</v>
      </c>
      <c r="D11" s="12" t="str">
        <f>'Sección 1.3'!N20</f>
        <v>A</v>
      </c>
    </row>
    <row r="12" spans="3:4" x14ac:dyDescent="0.25">
      <c r="C12" s="11" t="s">
        <v>5</v>
      </c>
      <c r="D12" s="14">
        <f>D6/(F25*F24)</f>
        <v>0.53674999999999995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19*22.6</f>
        <v>429.40000000000003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16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33.200000000000003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17.2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45.6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31.2</v>
      </c>
      <c r="N20" s="6" t="str">
        <f>IF('Sección 1.3'!$D$10&gt;='Sección 1.3'!M37,'Sección 1.3'!N37,IF(AND('Sección 1.3'!$D$10&gt;='Sección 1.3'!M38,'Sección 1.3'!$D$10&lt;'Sección 1.3'!M37),'Sección 1.3'!N38,IF(AND('Sección 1.3'!$D$10&gt;='Sección 1.3'!M39,'Sección 1.3'!$D$10&lt;'Sección 1.3'!M38),'Sección 1.3'!N39,IF(AND('Sección 1.3'!$D$10&gt;='Sección 1.3'!M40,'Sección 1.3'!$D$10&lt;'Sección 1.3'!M39),'Sección 1.3'!N40,IF(AND('Sección 1.3'!$D$10&gt;='Sección 1.3'!M41,'Sección 1.3'!$D$10&lt;'Sección 1.3'!M40),'Sección 1.3'!N41,IF(AND('Sección 1.3'!$D$10&gt;='Sección 1.3'!M42,'Sección 1.3'!$D$10&lt;'Sección 1.3'!M41),'Sección 1.3'!N42,N43))))))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102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2*51</f>
        <v>102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0.47799999999999998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0.92600000000000005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156.86274509803923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8000*2</f>
        <v>16000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0.23754075454122028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27" priority="2">
      <formula>ISERROR(D6)</formula>
    </cfRule>
  </conditionalFormatting>
  <conditionalFormatting sqref="D12:D13">
    <cfRule type="expression" dxfId="26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7550-3D4B-4BCE-9E59-922C3538C831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78</v>
      </c>
    </row>
    <row r="4" spans="3:4" x14ac:dyDescent="0.25">
      <c r="C4" s="9" t="s">
        <v>0</v>
      </c>
      <c r="D4" s="12" t="str">
        <f>'Sección 1.4'!$F$27</f>
        <v>B1</v>
      </c>
    </row>
    <row r="5" spans="3:4" x14ac:dyDescent="0.25">
      <c r="C5" s="10" t="s">
        <v>1</v>
      </c>
      <c r="D5" s="12" t="str">
        <f>'Sección 1.4'!$F$28</f>
        <v>ME2</v>
      </c>
    </row>
    <row r="6" spans="3:4" x14ac:dyDescent="0.25">
      <c r="C6" s="10" t="s">
        <v>2</v>
      </c>
      <c r="D6" s="13">
        <f>('Sección 1.4'!F19*'Sección 1.4'!F20)/'Sección 1.4'!F21</f>
        <v>65.941176470588246</v>
      </c>
    </row>
    <row r="7" spans="3:4" x14ac:dyDescent="0.25">
      <c r="C7" s="10" t="s">
        <v>40</v>
      </c>
      <c r="D7" s="12">
        <f>IF('Sección 1.4'!F29="v",'Sección 1.4'!H20,'Sección 1.4'!I20)</f>
        <v>33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1.4'!F29="v",'Sección 1.4'!K20,'Sección 1.4'!L20)</f>
        <v>44</v>
      </c>
    </row>
    <row r="10" spans="3:4" x14ac:dyDescent="0.25">
      <c r="C10" s="10" t="s">
        <v>3</v>
      </c>
      <c r="D10" s="14">
        <f>D6/D9</f>
        <v>1.4986631016042784</v>
      </c>
    </row>
    <row r="11" spans="3:4" x14ac:dyDescent="0.25">
      <c r="C11" s="10" t="s">
        <v>4</v>
      </c>
      <c r="D11" s="12" t="str">
        <f>'Sección 1.4'!N20</f>
        <v>A</v>
      </c>
    </row>
    <row r="12" spans="3:4" x14ac:dyDescent="0.25">
      <c r="C12" s="11" t="s">
        <v>5</v>
      </c>
      <c r="D12" s="14">
        <f>D6/(F25*F24)</f>
        <v>0.52546875000000004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19*23.6</f>
        <v>448.40000000000003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15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33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17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44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30</v>
      </c>
      <c r="N20" s="6" t="str">
        <f>IF('Sección 1.4'!$D$10&gt;='Sección 1.4'!M37,'Sección 1.4'!N37,IF(AND('Sección 1.4'!$D$10&gt;='Sección 1.4'!M38,'Sección 1.4'!$D$10&lt;'Sección 1.4'!M37),'Sección 1.4'!N38,IF(AND('Sección 1.4'!$D$10&gt;='Sección 1.4'!M39,'Sección 1.4'!$D$10&lt;'Sección 1.4'!M38),'Sección 1.4'!N39,IF(AND('Sección 1.4'!$D$10&gt;='Sección 1.4'!M40,'Sección 1.4'!$D$10&lt;'Sección 1.4'!M39),'Sección 1.4'!N40,IF(AND('Sección 1.4'!$D$10&gt;='Sección 1.4'!M41,'Sección 1.4'!$D$10&lt;'Sección 1.4'!M40),'Sección 1.4'!N41,IF(AND('Sección 1.4'!$D$10&gt;='Sección 1.4'!M42,'Sección 1.4'!$D$10&lt;'Sección 1.4'!M41),'Sección 1.4'!N42,N43))))))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102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2*51</f>
        <v>102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0.45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0.88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156.86274509803923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8000*2</f>
        <v>16000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0.22747546833184654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25" priority="3">
      <formula>ISERROR(D6)</formula>
    </cfRule>
  </conditionalFormatting>
  <conditionalFormatting sqref="D12:D13">
    <cfRule type="expression" dxfId="24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4268-04A6-4C46-8F6C-224615E82530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80</v>
      </c>
    </row>
    <row r="4" spans="3:4" x14ac:dyDescent="0.25">
      <c r="C4" s="9" t="s">
        <v>0</v>
      </c>
      <c r="D4" s="12" t="str">
        <f>'Sección 1.6'!$F$27</f>
        <v>B1</v>
      </c>
    </row>
    <row r="5" spans="3:4" x14ac:dyDescent="0.25">
      <c r="C5" s="10" t="s">
        <v>1</v>
      </c>
      <c r="D5" s="12" t="str">
        <f>'Sección 1.6'!$F$28</f>
        <v>ME2</v>
      </c>
    </row>
    <row r="6" spans="3:4" x14ac:dyDescent="0.25">
      <c r="C6" s="10" t="s">
        <v>2</v>
      </c>
      <c r="D6" s="13">
        <f>('Sección 1.6'!F19*'Sección 1.6'!F20)/'Sección 1.6'!F21</f>
        <v>46.428876404494382</v>
      </c>
    </row>
    <row r="7" spans="3:4" x14ac:dyDescent="0.25">
      <c r="C7" s="10" t="s">
        <v>40</v>
      </c>
      <c r="D7" s="12">
        <f>IF('Sección 1.6'!F29="v",'Sección 1.6'!H20,'Sección 1.6'!I20)</f>
        <v>30.495999999999999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1.6'!F29="v",'Sección 1.6'!K20,'Sección 1.6'!L20)</f>
        <v>33.983999999999995</v>
      </c>
    </row>
    <row r="10" spans="3:4" x14ac:dyDescent="0.25">
      <c r="C10" s="10" t="s">
        <v>3</v>
      </c>
      <c r="D10" s="14">
        <f>D6/D9</f>
        <v>1.366198105122834</v>
      </c>
    </row>
    <row r="11" spans="3:4" x14ac:dyDescent="0.25">
      <c r="C11" s="10" t="s">
        <v>4</v>
      </c>
      <c r="D11" s="12" t="str">
        <f>'Sección 1.6'!N20</f>
        <v>A</v>
      </c>
    </row>
    <row r="12" spans="3:4" x14ac:dyDescent="0.25">
      <c r="C12" s="11" t="s">
        <v>5</v>
      </c>
      <c r="D12" s="14">
        <f>D6/(F25*F24)</f>
        <v>0.36894374999999996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30*14.7</f>
        <v>441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9.3699999999999992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30.495999999999999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15.495999999999999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33.983999999999995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22.488</v>
      </c>
      <c r="N20" s="6" t="str">
        <f>IF('Sección 1.6'!$D$10&gt;='Sección 1.6'!M37,'Sección 1.6'!N37,IF(AND('Sección 1.6'!$D$10&gt;='Sección 1.6'!M38,'Sección 1.6'!$D$10&lt;'Sección 1.6'!M37),'Sección 1.6'!N38,IF(AND('Sección 1.6'!$D$10&gt;='Sección 1.6'!M39,'Sección 1.6'!$D$10&lt;'Sección 1.6'!M38),'Sección 1.6'!N39,IF(AND('Sección 1.6'!$D$10&gt;='Sección 1.6'!M40,'Sección 1.6'!$D$10&lt;'Sección 1.6'!M39),'Sección 1.6'!N40,IF(AND('Sección 1.6'!$D$10&gt;='Sección 1.6'!M41,'Sección 1.6'!$D$10&lt;'Sección 1.6'!M40),'Sección 1.6'!N41,IF(AND('Sección 1.6'!$D$10&gt;='Sección 1.6'!M42,'Sección 1.6'!$D$10&lt;'Sección 1.6'!M41),'Sección 1.6'!N42,N43))))))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89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2*44.5</f>
        <v>89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0.30487999999999998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0.6048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157.30337078651687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7000*2</f>
        <v>14000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0.20181405895691609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23" priority="2">
      <formula>ISERROR(D6)</formula>
    </cfRule>
  </conditionalFormatting>
  <conditionalFormatting sqref="D12:D13">
    <cfRule type="expression" dxfId="22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C1BB-99F2-44C3-A924-DD689D680E8D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82</v>
      </c>
    </row>
    <row r="4" spans="3:4" x14ac:dyDescent="0.25">
      <c r="C4" s="9" t="s">
        <v>0</v>
      </c>
      <c r="D4" s="12" t="str">
        <f>'Sección 2.1'!$F$27</f>
        <v>B1</v>
      </c>
    </row>
    <row r="5" spans="3:4" x14ac:dyDescent="0.25">
      <c r="C5" s="10" t="s">
        <v>1</v>
      </c>
      <c r="D5" s="12" t="str">
        <f>'Sección 2.1'!$F$28</f>
        <v>ME2</v>
      </c>
    </row>
    <row r="6" spans="3:4" x14ac:dyDescent="0.25">
      <c r="C6" s="10" t="s">
        <v>2</v>
      </c>
      <c r="D6" s="13">
        <f>('Sección 2.1'!F19*'Sección 2.1'!F20)/'Sección 2.1'!F21</f>
        <v>52.724137931034484</v>
      </c>
    </row>
    <row r="7" spans="3:4" x14ac:dyDescent="0.25">
      <c r="C7" s="10" t="s">
        <v>40</v>
      </c>
      <c r="D7" s="12">
        <f>IF('Sección 2.1'!F29="v",'Sección 2.1'!H20,'Sección 2.1'!I20)</f>
        <v>31.4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2.1'!F29="v",'Sección 2.1'!K20,'Sección 2.1'!L20)</f>
        <v>37.6</v>
      </c>
    </row>
    <row r="10" spans="3:4" x14ac:dyDescent="0.25">
      <c r="C10" s="10" t="s">
        <v>3</v>
      </c>
      <c r="D10" s="14">
        <f>D6/D9</f>
        <v>1.4022377109317681</v>
      </c>
    </row>
    <row r="11" spans="3:4" x14ac:dyDescent="0.25">
      <c r="C11" s="10" t="s">
        <v>4</v>
      </c>
      <c r="D11" s="12" t="str">
        <f>'Sección 2.1'!N20</f>
        <v>A</v>
      </c>
    </row>
    <row r="12" spans="3:4" x14ac:dyDescent="0.25">
      <c r="C12" s="11" t="s">
        <v>5</v>
      </c>
      <c r="D12" s="14">
        <f>D6/(F25*F24)</f>
        <v>0.40955357142857141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13.9*30</f>
        <v>417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11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31.4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16.2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37.6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25.2</v>
      </c>
      <c r="N20" s="6" t="str">
        <f>IF('Sección 2.1'!$D$10&gt;='Sección 2.1'!M37,'Sección 2.1'!N37,IF(AND('Sección 2.1'!$D$10&gt;='Sección 2.1'!M38,'Sección 2.1'!$D$10&lt;'Sección 2.1'!M37),'Sección 2.1'!N38,IF(AND('Sección 2.1'!$D$10&gt;='Sección 2.1'!M39,'Sección 2.1'!$D$10&lt;'Sección 2.1'!M38),'Sección 2.1'!N39,IF(AND('Sección 2.1'!$D$10&gt;='Sección 2.1'!M40,'Sección 2.1'!$D$10&lt;'Sección 2.1'!M39),'Sección 2.1'!N40,IF(AND('Sección 2.1'!$D$10&gt;='Sección 2.1'!M41,'Sección 2.1'!$D$10&lt;'Sección 2.1'!M40),'Sección 2.1'!N41,IF(AND('Sección 2.1'!$D$10&gt;='Sección 2.1'!M42,'Sección 2.1'!$D$10&lt;'Sección 2.1'!M41),'Sección 2.1'!N42,N43))))))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87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v>87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0.34599999999999997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0.67999999999999994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160.91954022988506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14000</f>
        <v>14000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0.20863309352517986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21" priority="2">
      <formula>ISERROR(D6)</formula>
    </cfRule>
  </conditionalFormatting>
  <conditionalFormatting sqref="D12:D13">
    <cfRule type="expression" dxfId="20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D7D5-064D-4CB3-8883-96B3E5E6A39F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83</v>
      </c>
    </row>
    <row r="4" spans="3:4" x14ac:dyDescent="0.25">
      <c r="C4" s="9" t="s">
        <v>0</v>
      </c>
      <c r="D4" s="12" t="str">
        <f>'Sección 2.2'!$F$27</f>
        <v>B1</v>
      </c>
    </row>
    <row r="5" spans="3:4" x14ac:dyDescent="0.25">
      <c r="C5" s="10" t="s">
        <v>1</v>
      </c>
      <c r="D5" s="12" t="str">
        <f>'Sección 2.2'!$F$28</f>
        <v>ME2</v>
      </c>
    </row>
    <row r="6" spans="3:4" x14ac:dyDescent="0.25">
      <c r="C6" s="10" t="s">
        <v>2</v>
      </c>
      <c r="D6" s="13">
        <f>('Sección 2.2'!F19*'Sección 2.2'!F20)/'Sección 2.2'!F21</f>
        <v>56.655737704918032</v>
      </c>
    </row>
    <row r="7" spans="3:4" x14ac:dyDescent="0.25">
      <c r="C7" s="10" t="s">
        <v>40</v>
      </c>
      <c r="D7" s="12">
        <f>IF('Sección 2.2'!F29="v",'Sección 2.2'!H20,'Sección 2.2'!I20)</f>
        <v>31.8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2.2'!F29="v",'Sección 2.2'!K20,'Sección 2.2'!L20)</f>
        <v>39.200000000000003</v>
      </c>
    </row>
    <row r="10" spans="3:4" x14ac:dyDescent="0.25">
      <c r="C10" s="10" t="s">
        <v>3</v>
      </c>
      <c r="D10" s="14">
        <f>D6/D9</f>
        <v>1.4452994312479088</v>
      </c>
    </row>
    <row r="11" spans="3:4" x14ac:dyDescent="0.25">
      <c r="C11" s="10" t="s">
        <v>4</v>
      </c>
      <c r="D11" s="12" t="str">
        <f>'Sección 2.2'!N20</f>
        <v>A</v>
      </c>
    </row>
    <row r="12" spans="3:4" x14ac:dyDescent="0.25">
      <c r="C12" s="11" t="s">
        <v>5</v>
      </c>
      <c r="D12" s="14">
        <f>D6/(F25*F24)</f>
        <v>0.43199999999999994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19.2*30</f>
        <v>576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12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31.8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16.399999999999999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39.200000000000003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26.4</v>
      </c>
      <c r="N20" s="6" t="str">
        <f>IF('Sección 2.2'!$D$10&gt;='Sección 2.2'!M37,'Sección 2.2'!N37,IF(AND('Sección 2.2'!$D$10&gt;='Sección 2.2'!M38,'Sección 2.2'!$D$10&lt;'Sección 2.2'!M37),'Sección 2.2'!N38,IF(AND('Sección 2.2'!$D$10&gt;='Sección 2.2'!M39,'Sección 2.2'!$D$10&lt;'Sección 2.2'!M38),'Sección 2.2'!N39,IF(AND('Sección 2.2'!$D$10&gt;='Sección 2.2'!M40,'Sección 2.2'!$D$10&lt;'Sección 2.2'!M39),'Sección 2.2'!N40,IF(AND('Sección 2.2'!$D$10&gt;='Sección 2.2'!M41,'Sección 2.2'!$D$10&lt;'Sección 2.2'!M40),'Sección 2.2'!N41,IF(AND('Sección 2.2'!$D$10&gt;='Sección 2.2'!M42,'Sección 2.2'!$D$10&lt;'Sección 2.2'!M41),'Sección 2.2'!N42,N43))))))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122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2*61</f>
        <v>122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0.372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0.73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163.9344262295082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10000*2</f>
        <v>20000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0.21180555555555555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19" priority="2">
      <formula>ISERROR(D6)</formula>
    </cfRule>
  </conditionalFormatting>
  <conditionalFormatting sqref="D12:D13">
    <cfRule type="expression" dxfId="18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9D83-E7DC-4D22-A691-96DA95B53E9C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84</v>
      </c>
    </row>
    <row r="4" spans="3:4" x14ac:dyDescent="0.25">
      <c r="C4" s="9" t="s">
        <v>0</v>
      </c>
      <c r="D4" s="12" t="str">
        <f>'Sección 2.3'!$F$27</f>
        <v>B1</v>
      </c>
    </row>
    <row r="5" spans="3:4" x14ac:dyDescent="0.25">
      <c r="C5" s="10" t="s">
        <v>1</v>
      </c>
      <c r="D5" s="12" t="str">
        <f>'Sección 2.3'!$F$28</f>
        <v>ME2</v>
      </c>
    </row>
    <row r="6" spans="3:4" x14ac:dyDescent="0.25">
      <c r="C6" s="10" t="s">
        <v>2</v>
      </c>
      <c r="D6" s="13">
        <f>('Sección 2.3'!F19*'Sección 2.3'!F20)/'Sección 2.3'!F21</f>
        <v>53.704918032786885</v>
      </c>
    </row>
    <row r="7" spans="3:4" x14ac:dyDescent="0.25">
      <c r="C7" s="10" t="s">
        <v>40</v>
      </c>
      <c r="D7" s="12">
        <f>IF('Sección 2.3'!F29="v",'Sección 2.3'!H20,'Sección 2.3'!I20)</f>
        <v>31.8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2.3'!F29="v",'Sección 2.3'!K20,'Sección 2.3'!L20)</f>
        <v>39.200000000000003</v>
      </c>
    </row>
    <row r="10" spans="3:4" x14ac:dyDescent="0.25">
      <c r="C10" s="10" t="s">
        <v>3</v>
      </c>
      <c r="D10" s="14">
        <f>D6/D9</f>
        <v>1.370023419203747</v>
      </c>
    </row>
    <row r="11" spans="3:4" x14ac:dyDescent="0.25">
      <c r="C11" s="10" t="s">
        <v>4</v>
      </c>
      <c r="D11" s="12" t="str">
        <f>'Sección 2.3'!N20</f>
        <v>A</v>
      </c>
    </row>
    <row r="12" spans="3:4" x14ac:dyDescent="0.25">
      <c r="C12" s="11" t="s">
        <v>5</v>
      </c>
      <c r="D12" s="14">
        <f>D6/(F25*F24)</f>
        <v>0.40949999999999992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18.2*30</f>
        <v>546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12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31.8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16.399999999999999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39.200000000000003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26.4</v>
      </c>
      <c r="N20" s="6" t="str">
        <f>IF('Sección 2.3'!$D$10&gt;='Sección 2.3'!M37,'Sección 2.3'!N37,IF(AND('Sección 2.3'!$D$10&gt;='Sección 2.3'!M38,'Sección 2.3'!$D$10&lt;'Sección 2.3'!M37),'Sección 2.3'!N38,IF(AND('Sección 2.3'!$D$10&gt;='Sección 2.3'!M39,'Sección 2.3'!$D$10&lt;'Sección 2.3'!M38),'Sección 2.3'!N39,IF(AND('Sección 2.3'!$D$10&gt;='Sección 2.3'!M40,'Sección 2.3'!$D$10&lt;'Sección 2.3'!M39),'Sección 2.3'!N40,IF(AND('Sección 2.3'!$D$10&gt;='Sección 2.3'!M41,'Sección 2.3'!$D$10&lt;'Sección 2.3'!M40),'Sección 2.3'!N41,IF(AND('Sección 2.3'!$D$10&gt;='Sección 2.3'!M42,'Sección 2.3'!$D$10&lt;'Sección 2.3'!M41),'Sección 2.3'!N42,N43))))))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122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2*61</f>
        <v>122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0.372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0.73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163.9344262295082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10000*2</f>
        <v>20000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0.22344322344322345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17" priority="2">
      <formula>ISERROR(D6)</formula>
    </cfRule>
  </conditionalFormatting>
  <conditionalFormatting sqref="D12:D13">
    <cfRule type="expression" dxfId="16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731C-1F41-49D9-8A75-AC4459FEBF88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85</v>
      </c>
    </row>
    <row r="4" spans="3:4" x14ac:dyDescent="0.25">
      <c r="C4" s="9" t="s">
        <v>0</v>
      </c>
      <c r="D4" s="12" t="str">
        <f>'Sección 2.4'!$F$27</f>
        <v>B1</v>
      </c>
    </row>
    <row r="5" spans="3:4" x14ac:dyDescent="0.25">
      <c r="C5" s="10" t="s">
        <v>1</v>
      </c>
      <c r="D5" s="12" t="str">
        <f>'Sección 2.4'!$F$28</f>
        <v>ME2</v>
      </c>
    </row>
    <row r="6" spans="3:4" x14ac:dyDescent="0.25">
      <c r="C6" s="10" t="s">
        <v>2</v>
      </c>
      <c r="D6" s="13">
        <f>('Sección 2.4'!F19*'Sección 2.4'!F20)/'Sección 2.4'!F21</f>
        <v>51.739437500000001</v>
      </c>
    </row>
    <row r="7" spans="3:4" x14ac:dyDescent="0.25">
      <c r="C7" s="10" t="s">
        <v>40</v>
      </c>
      <c r="D7" s="12">
        <f>IF('Sección 2.4'!F29="v",'Sección 2.4'!H20,'Sección 2.4'!I20)</f>
        <v>30.943999999999999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IF('Sección 2.4'!F29="v",'Sección 2.4'!K20,'Sección 2.4'!L20)</f>
        <v>35.775999999999996</v>
      </c>
    </row>
    <row r="10" spans="3:4" x14ac:dyDescent="0.25">
      <c r="C10" s="10" t="s">
        <v>3</v>
      </c>
      <c r="D10" s="14">
        <f>D6/D9</f>
        <v>1.4462052074016103</v>
      </c>
    </row>
    <row r="11" spans="3:4" x14ac:dyDescent="0.25">
      <c r="C11" s="10" t="s">
        <v>4</v>
      </c>
      <c r="D11" s="12" t="str">
        <f>'Sección 2.4'!N20</f>
        <v>A</v>
      </c>
    </row>
    <row r="12" spans="3:4" x14ac:dyDescent="0.25">
      <c r="C12" s="11" t="s">
        <v>5</v>
      </c>
      <c r="D12" s="14">
        <f>D6/(F25*F24)</f>
        <v>0.40846924342105256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12.2*20.5</f>
        <v>250.1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9.93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30.943999999999999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15.943999999999999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35.775999999999996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23.832000000000001</v>
      </c>
      <c r="N20" s="6" t="str">
        <f>IF('Sección 2.4'!$D$10&gt;='Sección 2.4'!M37,'Sección 2.4'!N37,IF(AND('Sección 2.4'!$D$10&gt;='Sección 2.4'!M38,'Sección 2.4'!$D$10&lt;'Sección 2.4'!M37),'Sección 2.4'!N38,IF(AND('Sección 2.4'!$D$10&gt;='Sección 2.4'!M39,'Sección 2.4'!$D$10&lt;'Sección 2.4'!M38),'Sección 2.4'!N39,IF(AND('Sección 2.4'!$D$10&gt;='Sección 2.4'!M40,'Sección 2.4'!$D$10&lt;'Sección 2.4'!M39),'Sección 2.4'!N40,IF(AND('Sección 2.4'!$D$10&gt;='Sección 2.4'!M41,'Sección 2.4'!$D$10&lt;'Sección 2.4'!M40),'Sección 2.4'!N41,IF(AND('Sección 2.4'!$D$10&gt;='Sección 2.4'!M42,'Sección 2.4'!$D$10&lt;'Sección 2.4'!M41),'Sección 2.4'!N42,N43))))))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48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48</f>
        <v>48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0.31831999999999999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0.62719999999999998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158.33333333333334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7600</f>
        <v>7600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0.19192323070771691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15" priority="2">
      <formula>ISERROR(D6)</formula>
    </cfRule>
  </conditionalFormatting>
  <conditionalFormatting sqref="D12:D13">
    <cfRule type="expression" dxfId="14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4F05-B9D8-4667-BD30-2CB9B11361C6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86</v>
      </c>
    </row>
    <row r="4" spans="3:4" x14ac:dyDescent="0.25">
      <c r="C4" s="9" t="s">
        <v>0</v>
      </c>
      <c r="D4" s="12" t="str">
        <f>'Rotonda puente'!$F$27</f>
        <v>B1</v>
      </c>
    </row>
    <row r="5" spans="3:4" x14ac:dyDescent="0.25">
      <c r="C5" s="10" t="s">
        <v>1</v>
      </c>
      <c r="D5" s="12" t="str">
        <f>'Rotonda puente'!$F$28</f>
        <v>ME2</v>
      </c>
    </row>
    <row r="6" spans="3:4" x14ac:dyDescent="0.25">
      <c r="C6" s="10" t="s">
        <v>2</v>
      </c>
      <c r="D6" s="13">
        <f>('Rotonda puente'!F19*'Rotonda puente'!F20)/'Rotonda puente'!F21</f>
        <v>63.182947277811913</v>
      </c>
    </row>
    <row r="7" spans="3:4" x14ac:dyDescent="0.25">
      <c r="C7" s="10" t="s">
        <v>40</v>
      </c>
      <c r="D7" s="12">
        <f>IF('Rotonda puente'!F29="v",'Rotonda puente'!H20,'Rotonda puente'!I20)</f>
        <v>36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IF('Rotonda puente'!F29="v",'Rotonda puente'!K20,'Rotonda puente'!L20)</f>
        <v>68</v>
      </c>
    </row>
    <row r="10" spans="3:4" x14ac:dyDescent="0.25">
      <c r="C10" s="10" t="s">
        <v>3</v>
      </c>
      <c r="D10" s="14">
        <f>D6/D9</f>
        <v>0.92916098937958691</v>
      </c>
    </row>
    <row r="11" spans="3:4" x14ac:dyDescent="0.25">
      <c r="C11" s="10" t="s">
        <v>4</v>
      </c>
      <c r="D11" s="12" t="str">
        <f>'Rotonda puente'!N20</f>
        <v>B</v>
      </c>
    </row>
    <row r="12" spans="3:4" x14ac:dyDescent="0.25">
      <c r="C12" s="11" t="s">
        <v>5</v>
      </c>
      <c r="D12" s="14">
        <f>D6/(F25*F24)</f>
        <v>0.48703521859980015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PI()*((25.3*25.3)-(12*12))</f>
        <v>1558.5126995193605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30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36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68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IF('Rotonda puente'!$D$10&gt;='Rotonda puente'!M37,'Rotonda puente'!N37,IF(AND('Rotonda puente'!$D$10&gt;='Rotonda puente'!M38,'Rotonda puente'!$D$10&lt;'Rotonda puente'!M37),'Rotonda puente'!N38,IF(AND('Rotonda puente'!$D$10&gt;='Rotonda puente'!M39,'Rotonda puente'!$D$10&lt;'Rotonda puente'!M38),'Rotonda puente'!N39,IF(AND('Rotonda puente'!$D$10&gt;='Rotonda puente'!M40,'Rotonda puente'!$D$10&lt;'Rotonda puente'!M39),'Rotonda puente'!N40,IF(AND('Rotonda puente'!$D$10&gt;='Rotonda puente'!M41,'Rotonda puente'!$D$10&lt;'Rotonda puente'!M40),'Rotonda puente'!N41,IF(AND('Rotonda puente'!$D$10&gt;='Rotonda puente'!M42,'Rotonda puente'!$D$10&lt;'Rotonda puente'!M41),'Rotonda puente'!N42,N43))))))</f>
        <v>B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740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10*74</f>
        <v>740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0.83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162.16216216216216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10*12000</f>
        <v>120000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0.47481165872322584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13" priority="2">
      <formula>ISERROR(D6)</formula>
    </cfRule>
  </conditionalFormatting>
  <conditionalFormatting sqref="D12:D13">
    <cfRule type="expression" dxfId="12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5EB5-F344-460C-86AF-C6EF6971CCA8}">
  <dimension ref="C2:N52"/>
  <sheetViews>
    <sheetView zoomScale="80" zoomScaleNormal="80" workbookViewId="0">
      <selection activeCell="G11" sqref="G11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87</v>
      </c>
    </row>
    <row r="4" spans="3:4" x14ac:dyDescent="0.25">
      <c r="C4" s="9" t="s">
        <v>0</v>
      </c>
      <c r="D4" s="12" t="str">
        <f>'Rotonda Guadalmar'!$F$27</f>
        <v>B1</v>
      </c>
    </row>
    <row r="5" spans="3:4" x14ac:dyDescent="0.25">
      <c r="C5" s="10" t="s">
        <v>1</v>
      </c>
      <c r="D5" s="12" t="str">
        <f>'Rotonda Guadalmar'!$F$28</f>
        <v>ME2</v>
      </c>
    </row>
    <row r="6" spans="3:4" x14ac:dyDescent="0.25">
      <c r="C6" s="10" t="s">
        <v>2</v>
      </c>
      <c r="D6" s="13">
        <f>('Rotonda Guadalmar'!F19*'Rotonda Guadalmar'!F20)/'Rotonda Guadalmar'!F21</f>
        <v>48.859195205407474</v>
      </c>
    </row>
    <row r="7" spans="3:4" x14ac:dyDescent="0.25">
      <c r="C7" s="10" t="s">
        <v>40</v>
      </c>
      <c r="D7" s="12">
        <f>IF('Rotonda Guadalmar'!F29="v",'Rotonda Guadalmar'!H20,'Rotonda Guadalmar'!I20)</f>
        <v>36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IF('Rotonda Guadalmar'!F29="v",'Rotonda Guadalmar'!K20,'Rotonda Guadalmar'!L20)</f>
        <v>68</v>
      </c>
    </row>
    <row r="10" spans="3:4" x14ac:dyDescent="0.25">
      <c r="C10" s="10" t="s">
        <v>3</v>
      </c>
      <c r="D10" s="14">
        <f>D6/D9</f>
        <v>0.71851757655010995</v>
      </c>
    </row>
    <row r="11" spans="3:4" x14ac:dyDescent="0.25">
      <c r="C11" s="10" t="s">
        <v>4</v>
      </c>
      <c r="D11" s="12" t="str">
        <f>'Rotonda Guadalmar'!N20</f>
        <v>D</v>
      </c>
    </row>
    <row r="12" spans="3:4" x14ac:dyDescent="0.25">
      <c r="C12" s="11" t="s">
        <v>5</v>
      </c>
      <c r="D12" s="14">
        <f>D6/(F25*F24)</f>
        <v>0.37662296304168258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PI()*((21*21)-(12*12))</f>
        <v>933.05301811616857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31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36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68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IF('Rotonda Guadalmar'!$D$10&gt;='Rotonda Guadalmar'!M37,'Rotonda Guadalmar'!N37,IF(AND('Rotonda Guadalmar'!$D$10&gt;='Rotonda Guadalmar'!M38,'Rotonda Guadalmar'!$D$10&lt;'Rotonda Guadalmar'!M37),'Rotonda Guadalmar'!N38,IF(AND('Rotonda Guadalmar'!$D$10&gt;='Rotonda Guadalmar'!M39,'Rotonda Guadalmar'!$D$10&lt;'Rotonda Guadalmar'!M38),'Rotonda Guadalmar'!N39,IF(AND('Rotonda Guadalmar'!$D$10&gt;='Rotonda Guadalmar'!M40,'Rotonda Guadalmar'!$D$10&lt;'Rotonda Guadalmar'!M39),'Rotonda Guadalmar'!N40,IF(AND('Rotonda Guadalmar'!$D$10&gt;='Rotonda Guadalmar'!M41,'Rotonda Guadalmar'!$D$10&lt;'Rotonda Guadalmar'!M40),'Rotonda Guadalmar'!N41,IF(AND('Rotonda Guadalmar'!$D$10&gt;='Rotonda Guadalmar'!M42,'Rotonda Guadalmar'!$D$10&lt;'Rotonda Guadalmar'!M41),'Rotonda Guadalmar'!N42,N43))))))</f>
        <v>D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592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8*74</f>
        <v>592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0.83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162.16216216216216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8*12000</f>
        <v>96000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77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0.63447627145051877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11" priority="2">
      <formula>ISERROR(D6)</formula>
    </cfRule>
  </conditionalFormatting>
  <conditionalFormatting sqref="D12:D13">
    <cfRule type="expression" dxfId="10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EBA5-B61E-4D18-B016-AC035C461DCC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68</v>
      </c>
    </row>
    <row r="4" spans="3:4" x14ac:dyDescent="0.25">
      <c r="C4" s="9" t="s">
        <v>0</v>
      </c>
      <c r="D4" s="12" t="str">
        <f>'Vial mixto'!$F$27</f>
        <v>B1</v>
      </c>
    </row>
    <row r="5" spans="3:4" x14ac:dyDescent="0.25">
      <c r="C5" s="10" t="s">
        <v>1</v>
      </c>
      <c r="D5" s="12" t="str">
        <f>'Vial mixto'!$F$28</f>
        <v>ME3c</v>
      </c>
    </row>
    <row r="6" spans="3:4" x14ac:dyDescent="0.25">
      <c r="C6" s="10" t="s">
        <v>2</v>
      </c>
      <c r="D6" s="13">
        <f>('Vial mixto'!F19*'Vial mixto'!F20)/'Vial mixto'!F21</f>
        <v>38.333333333333336</v>
      </c>
    </row>
    <row r="7" spans="3:4" x14ac:dyDescent="0.25">
      <c r="C7" s="10" t="s">
        <v>40</v>
      </c>
      <c r="D7" s="12">
        <f>IF('Vial mixto'!F29="v",'Vial mixto'!H20,'Vial mixto'!I20)</f>
        <v>34.6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IF('Vial mixto'!F29="v",'Vial mixto'!K20,'Vial mixto'!L20)</f>
        <v>56.8</v>
      </c>
    </row>
    <row r="10" spans="3:4" x14ac:dyDescent="0.25">
      <c r="C10" s="10" t="s">
        <v>3</v>
      </c>
      <c r="D10" s="14">
        <f>D6/D9</f>
        <v>0.67488262910798125</v>
      </c>
    </row>
    <row r="11" spans="3:4" x14ac:dyDescent="0.25">
      <c r="C11" s="10" t="s">
        <v>4</v>
      </c>
      <c r="D11" s="12" t="str">
        <f>'Vial mixto'!N20</f>
        <v>D</v>
      </c>
    </row>
    <row r="12" spans="3:4" x14ac:dyDescent="0.25">
      <c r="C12" s="11" t="s">
        <v>5</v>
      </c>
      <c r="D12" s="14">
        <f>D6/(F25*F24)</f>
        <v>0.34582999198075387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18*5</f>
        <v>90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23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34.6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56.8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IF('Vial mixto'!$D$10&gt;='Vial mixto'!M37,'Vial mixto'!N37,IF(AND('Vial mixto'!$D$10&gt;='Vial mixto'!M38,'Vial mixto'!$D$10&lt;'Vial mixto'!M37),'Vial mixto'!N38,IF(AND('Vial mixto'!$D$10&gt;='Vial mixto'!M39,'Vial mixto'!$D$10&lt;'Vial mixto'!M38),'Vial mixto'!N39,IF(AND('Vial mixto'!$D$10&gt;='Vial mixto'!M40,'Vial mixto'!$D$10&lt;'Vial mixto'!M39),'Vial mixto'!N40,IF(AND('Vial mixto'!$D$10&gt;='Vial mixto'!M41,'Vial mixto'!$D$10&lt;'Vial mixto'!M40),'Vial mixto'!N41,IF(AND('Vial mixto'!$D$10&gt;='Vial mixto'!M42,'Vial mixto'!$D$10&lt;'Vial mixto'!M41),'Vial mixto'!N42,N43))))))</f>
        <v>D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54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2*27</f>
        <v>54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0.66199999999999992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138.55555555555554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3741*2</f>
        <v>7482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69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0.6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9" priority="2">
      <formula>ISERROR(D6)</formula>
    </cfRule>
  </conditionalFormatting>
  <conditionalFormatting sqref="D12:D13">
    <cfRule type="expression" dxfId="8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93A9-F922-4850-AE9E-FDF81AB1F34F}">
  <dimension ref="C2:N52"/>
  <sheetViews>
    <sheetView zoomScale="80" zoomScaleNormal="80" workbookViewId="0">
      <selection activeCell="L8" sqref="L8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68</v>
      </c>
    </row>
    <row r="4" spans="3:4" x14ac:dyDescent="0.25">
      <c r="C4" s="9" t="s">
        <v>0</v>
      </c>
      <c r="D4" s="12" t="str">
        <f>'CE-1'!$F$27</f>
        <v>B1</v>
      </c>
    </row>
    <row r="5" spans="3:4" x14ac:dyDescent="0.25">
      <c r="C5" s="10" t="s">
        <v>1</v>
      </c>
      <c r="D5" s="12" t="str">
        <f>'CE-1'!$F$28</f>
        <v>ME3c</v>
      </c>
    </row>
    <row r="6" spans="3:4" x14ac:dyDescent="0.25">
      <c r="C6" s="10" t="s">
        <v>2</v>
      </c>
      <c r="D6" s="13">
        <f>('CE-1'!F19*'CE-1'!F20)/'CE-1'!F21</f>
        <v>65.333333333333329</v>
      </c>
    </row>
    <row r="7" spans="3:4" x14ac:dyDescent="0.25">
      <c r="C7" s="10" t="s">
        <v>40</v>
      </c>
      <c r="D7" s="12">
        <f>IF('CE-1'!F29="v",'CE-1'!H20,'CE-1'!I20)</f>
        <v>34.200000000000003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IF('CE-1'!F29="v",'CE-1'!K20,'CE-1'!L20)</f>
        <v>53.6</v>
      </c>
    </row>
    <row r="10" spans="3:4" x14ac:dyDescent="0.25">
      <c r="C10" s="10" t="s">
        <v>3</v>
      </c>
      <c r="D10" s="14">
        <f>D6/D9</f>
        <v>1.2189054726368158</v>
      </c>
    </row>
    <row r="11" spans="3:4" x14ac:dyDescent="0.25">
      <c r="C11" s="10" t="s">
        <v>4</v>
      </c>
      <c r="D11" s="12" t="str">
        <f>'CE-1'!N20</f>
        <v>A</v>
      </c>
    </row>
    <row r="12" spans="3:4" x14ac:dyDescent="0.25">
      <c r="C12" s="11" t="s">
        <v>5</v>
      </c>
      <c r="D12" s="14">
        <f>D6/(F25*F24)</f>
        <v>0.58941459502806737</v>
      </c>
    </row>
    <row r="13" spans="3:4" x14ac:dyDescent="0.25">
      <c r="C13" s="10" t="s">
        <v>67</v>
      </c>
      <c r="D13" s="26" t="str">
        <f>IF(F30&lt;=H24,"CUMPLE","NO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16*10.5</f>
        <v>168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21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34.200000000000003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53.6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'CE-1'!$D$10&gt;='CE-1'!M37,'CE-1'!N37,IF(AND('CE-1'!$D$10&gt;='CE-1'!M38,'CE-1'!$D$10&lt;'CE-1'!M37),'CE-1'!N38,IF(AND('CE-1'!$D$10&gt;='CE-1'!M39,'CE-1'!$D$10&lt;'CE-1'!M38),'CE-1'!N39,IF(AND('CE-1'!$D$10&gt;='CE-1'!M40,'CE-1'!$D$10&lt;'CE-1'!M39),'CE-1'!N40,IF(AND('CE-1'!$D$10&gt;='CE-1'!M41,'CE-1'!$D$10&lt;'CE-1'!M40),'CE-1'!N41,IF(AND('CE-1'!$D$10&gt;='CE-1'!M42,'CE-1'!$D$10&lt;'CE-1'!M41),'CE-1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54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2*27</f>
        <v>54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0.61399999999999999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138.55555555555554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3741*2</f>
        <v>7482</v>
      </c>
    </row>
    <row r="27" spans="3:14" x14ac:dyDescent="0.25">
      <c r="C27" s="20" t="s">
        <v>33</v>
      </c>
      <c r="D27" s="20"/>
      <c r="E27" s="20"/>
      <c r="F27" s="8" t="s">
        <v>48</v>
      </c>
    </row>
    <row r="28" spans="3:14" x14ac:dyDescent="0.25">
      <c r="C28" s="20" t="s">
        <v>34</v>
      </c>
      <c r="D28" s="20"/>
      <c r="E28" s="20"/>
      <c r="F28" s="8" t="s">
        <v>69</v>
      </c>
    </row>
    <row r="29" spans="3:14" x14ac:dyDescent="0.25">
      <c r="C29" s="20" t="s">
        <v>35</v>
      </c>
      <c r="D29" s="20"/>
      <c r="E29" s="8" t="s">
        <v>41</v>
      </c>
      <c r="F29" s="8" t="s">
        <v>42</v>
      </c>
    </row>
    <row r="30" spans="3:14" x14ac:dyDescent="0.25">
      <c r="C30" s="20" t="s">
        <v>66</v>
      </c>
      <c r="D30" s="20"/>
      <c r="E30" s="20"/>
      <c r="F30" s="8">
        <f>F21/F19</f>
        <v>0.32142857142857145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18" t="s">
        <v>37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18" t="s">
        <v>37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7" priority="2">
      <formula>ISERROR(D6)</formula>
    </cfRule>
  </conditionalFormatting>
  <conditionalFormatting sqref="D12:D13">
    <cfRule type="expression" dxfId="6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64A8-6399-497E-9C37-4F9DC3C32A84}">
  <dimension ref="C2:N52"/>
  <sheetViews>
    <sheetView zoomScale="80" zoomScaleNormal="80" workbookViewId="0">
      <selection activeCell="D4" sqref="D4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76</v>
      </c>
    </row>
    <row r="4" spans="3:4" x14ac:dyDescent="0.25">
      <c r="C4" s="9" t="s">
        <v>0</v>
      </c>
      <c r="D4" s="12" t="str">
        <f>ZLP!$F$27</f>
        <v>E1</v>
      </c>
    </row>
    <row r="5" spans="3:4" x14ac:dyDescent="0.25">
      <c r="C5" s="10" t="s">
        <v>1</v>
      </c>
      <c r="D5" s="12" t="str">
        <f>ZLP!$F$28</f>
        <v>CE2</v>
      </c>
    </row>
    <row r="6" spans="3:4" x14ac:dyDescent="0.25">
      <c r="C6" s="10" t="s">
        <v>2</v>
      </c>
      <c r="D6" s="13">
        <f>(ZLP!F19*ZLP!F20)/ZLP!F21</f>
        <v>26.893333333333338</v>
      </c>
    </row>
    <row r="7" spans="3:4" x14ac:dyDescent="0.25">
      <c r="C7" s="10" t="s">
        <v>40</v>
      </c>
      <c r="D7" s="12">
        <f>IF(ZLP!F29="v",ZLP!H20,ZLP!I20)</f>
        <v>18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IF(ZLP!F29="v",ZLP!K20,ZLP!L20)</f>
        <v>36</v>
      </c>
    </row>
    <row r="10" spans="3:4" x14ac:dyDescent="0.25">
      <c r="C10" s="10" t="s">
        <v>3</v>
      </c>
      <c r="D10" s="14">
        <f>D6/D9</f>
        <v>0.74703703703703717</v>
      </c>
    </row>
    <row r="11" spans="3:4" x14ac:dyDescent="0.25">
      <c r="C11" s="10" t="s">
        <v>4</v>
      </c>
      <c r="D11" s="12" t="str">
        <f>ZLP!N20</f>
        <v>C</v>
      </c>
    </row>
    <row r="12" spans="3:4" x14ac:dyDescent="0.25">
      <c r="C12" s="11" t="s">
        <v>5</v>
      </c>
      <c r="D12" s="14">
        <f>D6/(F25*F24)</f>
        <v>0.22595220313666919</v>
      </c>
    </row>
    <row r="13" spans="3:4" x14ac:dyDescent="0.25">
      <c r="C13" s="10" t="s">
        <v>67</v>
      </c>
      <c r="D13" s="26" t="str">
        <f>IF(F30&lt;=I24,"CUMPLE","NO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f>18*2</f>
        <v>36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20.170000000000002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34.033999999999999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52.272000000000006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ZLP!$D$10&gt;=ZLP!M37,ZLP!N37,IF(AND(ZLP!$D$10&gt;=ZLP!M38,ZLP!$D$10&lt;ZLP!M37),ZLP!N38,IF(AND(ZLP!$D$10&gt;=ZLP!M39,ZLP!$D$10&lt;ZLP!M38),ZLP!N39,IF(AND(ZLP!$D$10&gt;=ZLP!M40,ZLP!$D$10&lt;ZLP!M39),ZLP!N40,IF(AND(ZLP!$D$10&gt;=ZLP!M41,ZLP!$D$10&lt;ZLP!M40),ZLP!N41,IF(AND(ZLP!$D$10&gt;=ZLP!M42,ZLP!$D$10&lt;ZLP!M41),ZLP!N42,N43))))))</f>
        <v>C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27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v>27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0.59408000000000005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148.77777777777777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v>4017</v>
      </c>
    </row>
    <row r="27" spans="3:14" x14ac:dyDescent="0.25">
      <c r="C27" s="20" t="s">
        <v>33</v>
      </c>
      <c r="D27" s="20"/>
      <c r="E27" s="20"/>
      <c r="F27" s="8" t="s">
        <v>71</v>
      </c>
    </row>
    <row r="28" spans="3:14" x14ac:dyDescent="0.25">
      <c r="C28" s="20" t="s">
        <v>34</v>
      </c>
      <c r="D28" s="20"/>
      <c r="E28" s="20"/>
      <c r="F28" s="8" t="s">
        <v>70</v>
      </c>
    </row>
    <row r="29" spans="3:14" x14ac:dyDescent="0.25">
      <c r="C29" s="20" t="s">
        <v>35</v>
      </c>
      <c r="D29" s="20"/>
      <c r="E29" s="8" t="s">
        <v>41</v>
      </c>
      <c r="F29" s="8" t="s">
        <v>46</v>
      </c>
    </row>
    <row r="30" spans="3:14" x14ac:dyDescent="0.25">
      <c r="C30" s="20" t="s">
        <v>66</v>
      </c>
      <c r="D30" s="20"/>
      <c r="E30" s="20"/>
      <c r="F30" s="8">
        <f>F21/F19</f>
        <v>0.75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27" t="s">
        <v>72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27" t="s">
        <v>72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5" priority="2">
      <formula>ISERROR(D6)</formula>
    </cfRule>
  </conditionalFormatting>
  <conditionalFormatting sqref="D12:D13">
    <cfRule type="expression" dxfId="4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16B-3FC1-4913-891C-D9D3BD178191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74</v>
      </c>
    </row>
    <row r="4" spans="3:4" x14ac:dyDescent="0.25">
      <c r="C4" s="9" t="s">
        <v>0</v>
      </c>
      <c r="D4" s="12" t="str">
        <f>'Zona juegos'!$F$27</f>
        <v>E1</v>
      </c>
    </row>
    <row r="5" spans="3:4" x14ac:dyDescent="0.25">
      <c r="C5" s="10" t="s">
        <v>1</v>
      </c>
      <c r="D5" s="12" t="str">
        <f>'Zona juegos'!$F$28</f>
        <v>S1</v>
      </c>
    </row>
    <row r="6" spans="3:4" x14ac:dyDescent="0.25">
      <c r="C6" s="10" t="s">
        <v>2</v>
      </c>
      <c r="D6" s="13">
        <f>('Zona juegos'!F19*'Zona juegos'!F20)/'Zona juegos'!F21</f>
        <v>59.464285714285715</v>
      </c>
    </row>
    <row r="7" spans="3:4" x14ac:dyDescent="0.25">
      <c r="C7" s="10" t="s">
        <v>40</v>
      </c>
      <c r="D7" s="12">
        <f>IF('Zona juegos'!F29="v",'Zona juegos'!H20,'Zona juegos'!I20)</f>
        <v>18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IF('Zona juegos'!F29="v",'Zona juegos'!K20,'Zona juegos'!L20)</f>
        <v>36</v>
      </c>
    </row>
    <row r="10" spans="3:4" x14ac:dyDescent="0.25">
      <c r="C10" s="10" t="s">
        <v>3</v>
      </c>
      <c r="D10" s="14">
        <f>D6/D9</f>
        <v>1.6517857142857144</v>
      </c>
    </row>
    <row r="11" spans="3:4" x14ac:dyDescent="0.25">
      <c r="C11" s="10" t="s">
        <v>4</v>
      </c>
      <c r="D11" s="12" t="str">
        <f>'Zona juegos'!N20</f>
        <v>A</v>
      </c>
    </row>
    <row r="12" spans="3:4" x14ac:dyDescent="0.25">
      <c r="C12" s="11" t="s">
        <v>5</v>
      </c>
      <c r="D12" s="14">
        <f>D6/(F25*F24)</f>
        <v>0.51230769230769224</v>
      </c>
    </row>
    <row r="13" spans="3:4" x14ac:dyDescent="0.25">
      <c r="C13" s="10" t="s">
        <v>67</v>
      </c>
      <c r="D13" s="26" t="str">
        <f>IF(F30&lt;=I24,"CUMPLE","NO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v>399.6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25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35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60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IF('Zona juegos'!$D$10&gt;='Zona juegos'!M37,'Zona juegos'!N37,IF(AND('Zona juegos'!$D$10&gt;='Zona juegos'!M38,'Zona juegos'!$D$10&lt;'Zona juegos'!M37),'Zona juegos'!N38,IF(AND('Zona juegos'!$D$10&gt;='Zona juegos'!M39,'Zona juegos'!$D$10&lt;'Zona juegos'!M38),'Zona juegos'!N39,IF(AND('Zona juegos'!$D$10&gt;='Zona juegos'!M40,'Zona juegos'!$D$10&lt;'Zona juegos'!M39),'Zona juegos'!N40,IF(AND('Zona juegos'!$D$10&gt;='Zona juegos'!M41,'Zona juegos'!$D$10&lt;'Zona juegos'!M40),'Zona juegos'!N41,IF(AND('Zona juegos'!$D$10&gt;='Zona juegos'!M42,'Zona juegos'!$D$10&lt;'Zona juegos'!M41),'Zona juegos'!N42,N43))))))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168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(38*3)+(27*2)</f>
        <v>168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0.71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145.08928571428572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(5631*3)+(3741*2)</f>
        <v>24375</v>
      </c>
    </row>
    <row r="27" spans="3:14" x14ac:dyDescent="0.25">
      <c r="C27" s="20" t="s">
        <v>33</v>
      </c>
      <c r="D27" s="20"/>
      <c r="E27" s="20"/>
      <c r="F27" s="8" t="s">
        <v>71</v>
      </c>
    </row>
    <row r="28" spans="3:14" x14ac:dyDescent="0.25">
      <c r="C28" s="20" t="s">
        <v>34</v>
      </c>
      <c r="D28" s="20"/>
      <c r="E28" s="20"/>
      <c r="F28" s="8" t="s">
        <v>73</v>
      </c>
    </row>
    <row r="29" spans="3:14" x14ac:dyDescent="0.25">
      <c r="C29" s="20" t="s">
        <v>35</v>
      </c>
      <c r="D29" s="20"/>
      <c r="E29" s="8" t="s">
        <v>41</v>
      </c>
      <c r="F29" s="8" t="s">
        <v>46</v>
      </c>
    </row>
    <row r="30" spans="3:14" x14ac:dyDescent="0.25">
      <c r="C30" s="20" t="s">
        <v>66</v>
      </c>
      <c r="D30" s="20"/>
      <c r="E30" s="20"/>
      <c r="F30" s="8">
        <f>F21/F19</f>
        <v>0.42042042042042038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27" t="s">
        <v>72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27" t="s">
        <v>72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3" priority="2">
      <formula>ISERROR(D6)</formula>
    </cfRule>
  </conditionalFormatting>
  <conditionalFormatting sqref="D12:D13">
    <cfRule type="expression" dxfId="2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AE4F-7857-40AA-BBC5-4BA66D96AEA2}">
  <dimension ref="C2:N52"/>
  <sheetViews>
    <sheetView zoomScale="80" zoomScaleNormal="80" workbookViewId="0">
      <selection activeCell="D4" sqref="D4:D13"/>
    </sheetView>
  </sheetViews>
  <sheetFormatPr baseColWidth="10" defaultRowHeight="15" x14ac:dyDescent="0.25"/>
  <cols>
    <col min="1" max="2" width="1.85546875" customWidth="1"/>
    <col min="3" max="3" width="44.85546875" customWidth="1"/>
    <col min="4" max="4" width="26.7109375" bestFit="1" customWidth="1"/>
    <col min="5" max="5" width="11.85546875" bestFit="1" customWidth="1"/>
    <col min="6" max="6" width="11.42578125" style="1"/>
    <col min="7" max="7" width="14.7109375" bestFit="1" customWidth="1"/>
    <col min="14" max="14" width="25.140625" customWidth="1"/>
  </cols>
  <sheetData>
    <row r="2" spans="3:4" x14ac:dyDescent="0.25">
      <c r="C2" s="7" t="s">
        <v>75</v>
      </c>
    </row>
    <row r="4" spans="3:4" x14ac:dyDescent="0.25">
      <c r="C4" s="9" t="s">
        <v>0</v>
      </c>
      <c r="D4" s="12" t="str">
        <f>Estancia!$F$27</f>
        <v>E1</v>
      </c>
    </row>
    <row r="5" spans="3:4" x14ac:dyDescent="0.25">
      <c r="C5" s="10" t="s">
        <v>1</v>
      </c>
      <c r="D5" s="12" t="str">
        <f>Estancia!$F$28</f>
        <v>S1</v>
      </c>
    </row>
    <row r="6" spans="3:4" x14ac:dyDescent="0.25">
      <c r="C6" s="10" t="s">
        <v>2</v>
      </c>
      <c r="D6" s="13">
        <f>(Estancia!F19*Estancia!F20)/Estancia!F21</f>
        <v>49.993055555555557</v>
      </c>
    </row>
    <row r="7" spans="3:4" x14ac:dyDescent="0.25">
      <c r="C7" s="10" t="s">
        <v>40</v>
      </c>
      <c r="D7" s="12">
        <f>IF(Estancia!F29="v",Estancia!H20,Estancia!I20)</f>
        <v>18</v>
      </c>
    </row>
    <row r="8" spans="3:4" x14ac:dyDescent="0.25">
      <c r="C8" s="10" t="s">
        <v>47</v>
      </c>
      <c r="D8" s="26" t="str">
        <f>IF(D7&lt;=D6,"CUMPLE","NO CUMPLE")</f>
        <v>CUMPLE</v>
      </c>
    </row>
    <row r="9" spans="3:4" x14ac:dyDescent="0.25">
      <c r="C9" s="10" t="s">
        <v>49</v>
      </c>
      <c r="D9" s="12">
        <f>IF(Estancia!F29="v",Estancia!K20,Estancia!L20)</f>
        <v>36</v>
      </c>
    </row>
    <row r="10" spans="3:4" x14ac:dyDescent="0.25">
      <c r="C10" s="10" t="s">
        <v>3</v>
      </c>
      <c r="D10" s="14">
        <f>D6/D9</f>
        <v>1.388695987654321</v>
      </c>
    </row>
    <row r="11" spans="3:4" x14ac:dyDescent="0.25">
      <c r="C11" s="10" t="s">
        <v>4</v>
      </c>
      <c r="D11" s="12" t="str">
        <f>Estancia!N20</f>
        <v>A</v>
      </c>
    </row>
    <row r="12" spans="3:4" x14ac:dyDescent="0.25">
      <c r="C12" s="11" t="s">
        <v>5</v>
      </c>
      <c r="D12" s="14">
        <f>D6/(F25*F24)</f>
        <v>0.4510199478748998</v>
      </c>
    </row>
    <row r="13" spans="3:4" x14ac:dyDescent="0.25">
      <c r="C13" s="10" t="s">
        <v>67</v>
      </c>
      <c r="D13" s="26" t="str">
        <f>IF(F30&lt;=I24,"CUMPLE","NO CUMPLE")</f>
        <v>CUMPLE</v>
      </c>
    </row>
    <row r="15" spans="3:4" x14ac:dyDescent="0.25">
      <c r="C15" s="7" t="s">
        <v>63</v>
      </c>
    </row>
    <row r="17" spans="3:14" ht="15.75" thickBot="1" x14ac:dyDescent="0.3">
      <c r="C17" s="17" t="s">
        <v>8</v>
      </c>
      <c r="D17" s="17" t="s">
        <v>9</v>
      </c>
      <c r="E17" s="17" t="s">
        <v>13</v>
      </c>
      <c r="F17" s="17" t="s">
        <v>10</v>
      </c>
    </row>
    <row r="18" spans="3:14" ht="15.75" thickBot="1" x14ac:dyDescent="0.3">
      <c r="C18" s="20"/>
      <c r="D18" s="20"/>
      <c r="E18" s="20"/>
      <c r="F18" s="8"/>
      <c r="H18" s="28" t="s">
        <v>45</v>
      </c>
      <c r="I18" s="29"/>
      <c r="K18" s="28" t="s">
        <v>50</v>
      </c>
      <c r="L18" s="29"/>
      <c r="N18" s="5" t="s">
        <v>53</v>
      </c>
    </row>
    <row r="19" spans="3:14" x14ac:dyDescent="0.25">
      <c r="C19" s="20" t="s">
        <v>7</v>
      </c>
      <c r="D19" s="8" t="s">
        <v>11</v>
      </c>
      <c r="E19" s="8" t="s">
        <v>14</v>
      </c>
      <c r="F19" s="25">
        <v>234.75</v>
      </c>
      <c r="H19" s="2" t="s">
        <v>43</v>
      </c>
      <c r="I19" s="2" t="s">
        <v>44</v>
      </c>
      <c r="K19" s="2" t="s">
        <v>43</v>
      </c>
      <c r="L19" s="2" t="s">
        <v>44</v>
      </c>
      <c r="N19" s="4"/>
    </row>
    <row r="20" spans="3:14" ht="15.75" thickBot="1" x14ac:dyDescent="0.3">
      <c r="C20" s="20" t="s">
        <v>6</v>
      </c>
      <c r="D20" s="8" t="s">
        <v>12</v>
      </c>
      <c r="E20" s="8" t="s">
        <v>15</v>
      </c>
      <c r="F20" s="23">
        <v>23</v>
      </c>
      <c r="H20" s="3">
        <f>IF(F20&gt;C41,IF(F20&gt;C40,IF(F20&gt;C39,IF(F20&gt;C38,IF(F20&gt;C37,IF(F20&gt;C36,D36,D36+((F20-C36)*(D37-D36)/(C37-C36))),D37+((F20-C37)*(D38-D37)/(C38-C37))),D38+((F20-C38)*(D39-D38)/(C39-C38))),D39+((F20-C39)*(D40-D39)/(C40-C39))),D40+((F20-C40)*(D41-D40)/(C41-C40))),D41)</f>
        <v>34.6</v>
      </c>
      <c r="I20" s="3">
        <f>IF(F20&gt;C51,IF(F20&gt;C50,IF(F20&gt;C49,IF(F20&gt;C48,IF(F20&gt;C47,D47,D47+((F20-C47)*(D48-D47)/(C48-C47))),D48+((F20-C48)*(D49-D48)/(C49-C48))),D49+((F20-C49)*(D50-D49)/(C50-C49))),D50+((F20-C50)*(D51-D50)/(C51-C50))),D51)</f>
        <v>18</v>
      </c>
      <c r="K20" s="3">
        <f>IF(F20&gt;I41,IF(F20&gt;I40,IF(F20&gt;I39,IF(F20&gt;I38,IF(F20&gt;I37,IF(F20&gt;I36,J36,J36+((F20-I36)*(J37-J36)/(I37-I36))),J37+((F20-I37)*(J38-J37)/(I38-I37))),J38+((F20-I38)*(J39-J38)/(I39-I38))),J39+((F20-I39)*(J40-J39)/(I40-I39))),J40+((F20-I40)*(J41-J40)/(I41-I40))),J41)</f>
        <v>56.8</v>
      </c>
      <c r="L20" s="3">
        <f>IF(F20&gt;I51,IF(F20&gt;I50,IF(F20&gt;I49,IF(F20&gt;I48,IF(F20&gt;I47,J47,J47+((F20-I47)*(J48-J47)/(I48-I47))),J48+((F20-I48)*(J49-J48)/(I49-I48))),J49+((F20-I49)*(J50-J49)/(I50-I49))),J50+((F20-I50)*(J51-J50)/(I51-I50))),J51)</f>
        <v>36</v>
      </c>
      <c r="N20" s="6" t="str">
        <f>IF(Estancia!$D$10&gt;=Estancia!M37,Estancia!N37,IF(AND(Estancia!$D$10&gt;=Estancia!M38,Estancia!$D$10&lt;Estancia!M37),Estancia!N38,IF(AND(Estancia!$D$10&gt;=Estancia!M39,Estancia!$D$10&lt;Estancia!M38),Estancia!N39,IF(AND(Estancia!$D$10&gt;=Estancia!M40,Estancia!$D$10&lt;Estancia!M39),Estancia!N40,IF(AND(Estancia!$D$10&gt;=Estancia!M41,Estancia!$D$10&lt;Estancia!M40),Estancia!N41,IF(AND(Estancia!$D$10&gt;=Estancia!M42,Estancia!$D$10&lt;Estancia!M41),Estancia!N42,N43))))))</f>
        <v>A</v>
      </c>
    </row>
    <row r="21" spans="3:14" ht="15.75" thickBot="1" x14ac:dyDescent="0.3">
      <c r="C21" s="20" t="s">
        <v>16</v>
      </c>
      <c r="D21" s="8" t="s">
        <v>17</v>
      </c>
      <c r="E21" s="22" t="s">
        <v>22</v>
      </c>
      <c r="F21" s="15">
        <f>SUM(F22:F23)</f>
        <v>108</v>
      </c>
      <c r="G21" t="s">
        <v>32</v>
      </c>
    </row>
    <row r="22" spans="3:14" ht="15.75" thickBot="1" x14ac:dyDescent="0.3">
      <c r="C22" s="20" t="s">
        <v>18</v>
      </c>
      <c r="D22" s="8" t="s">
        <v>20</v>
      </c>
      <c r="E22" s="8" t="s">
        <v>22</v>
      </c>
      <c r="F22" s="24">
        <f>(27*4)</f>
        <v>108</v>
      </c>
      <c r="H22" s="28" t="s">
        <v>65</v>
      </c>
      <c r="I22" s="29"/>
    </row>
    <row r="23" spans="3:14" x14ac:dyDescent="0.25">
      <c r="C23" s="20" t="s">
        <v>19</v>
      </c>
      <c r="D23" s="8" t="s">
        <v>21</v>
      </c>
      <c r="E23" s="8" t="s">
        <v>22</v>
      </c>
      <c r="F23" s="8">
        <v>0</v>
      </c>
      <c r="H23" s="2" t="s">
        <v>43</v>
      </c>
      <c r="I23" s="2" t="s">
        <v>44</v>
      </c>
    </row>
    <row r="24" spans="3:14" ht="15.75" thickBot="1" x14ac:dyDescent="0.3">
      <c r="C24" s="20" t="s">
        <v>23</v>
      </c>
      <c r="D24" s="8" t="s">
        <v>24</v>
      </c>
      <c r="E24" s="8" t="s">
        <v>25</v>
      </c>
      <c r="F24" s="23">
        <v>0.8</v>
      </c>
      <c r="H24" s="3">
        <f>IF(F20&gt;F41,IF(F20&gt;F40,IF(F20&gt;F39,IF(F20&gt;F38,IF(F20&gt;F37,IF(F20&gt;F36,G36,G36+((F20-F36)*(G37-G36)/(F37-F36))),G37+((F20-F37)*(G38-G37)/(F38-F37))),G38+((F20-F38)*(G39-G38)/(F39-F38))),G39+((F20-F39)*(G40-G39)/(F40-F39))),G40+((F20-F40)*(G41-G40)/(F41-F40))),G41)</f>
        <v>0.66199999999999992</v>
      </c>
      <c r="I24" s="3">
        <f>IF(F20&gt;F51,IF(F20&gt;F50,IF(F20&gt;F49,IF(F20&gt;F48,IF(F20&gt;F47,G47,G47+((F20-F47)*(G48-G47)/(F48-F47))),G48+((F20-F48)*(G49-G48)/(F49-F48))),G49+((F20-F49)*(G50-G49)/(F50-F49))),G50+((F20-F50)*(G51-G50)/(F51-F50))),G51)</f>
        <v>1.1100000000000001</v>
      </c>
    </row>
    <row r="25" spans="3:14" ht="15.75" thickBot="1" x14ac:dyDescent="0.3">
      <c r="C25" s="20" t="s">
        <v>26</v>
      </c>
      <c r="D25" s="21" t="s">
        <v>27</v>
      </c>
      <c r="E25" s="22" t="s">
        <v>28</v>
      </c>
      <c r="F25" s="16">
        <f>F26/F21</f>
        <v>138.55555555555554</v>
      </c>
      <c r="G25" t="s">
        <v>32</v>
      </c>
    </row>
    <row r="26" spans="3:14" x14ac:dyDescent="0.25">
      <c r="C26" s="20" t="s">
        <v>29</v>
      </c>
      <c r="D26" s="8" t="s">
        <v>31</v>
      </c>
      <c r="E26" s="8" t="s">
        <v>30</v>
      </c>
      <c r="F26" s="24">
        <f>(3741*4)</f>
        <v>14964</v>
      </c>
    </row>
    <row r="27" spans="3:14" x14ac:dyDescent="0.25">
      <c r="C27" s="20" t="s">
        <v>33</v>
      </c>
      <c r="D27" s="20"/>
      <c r="E27" s="20"/>
      <c r="F27" s="8" t="s">
        <v>71</v>
      </c>
    </row>
    <row r="28" spans="3:14" x14ac:dyDescent="0.25">
      <c r="C28" s="20" t="s">
        <v>34</v>
      </c>
      <c r="D28" s="20"/>
      <c r="E28" s="20"/>
      <c r="F28" s="8" t="s">
        <v>73</v>
      </c>
    </row>
    <row r="29" spans="3:14" x14ac:dyDescent="0.25">
      <c r="C29" s="20" t="s">
        <v>35</v>
      </c>
      <c r="D29" s="20"/>
      <c r="E29" s="8" t="s">
        <v>41</v>
      </c>
      <c r="F29" s="8" t="s">
        <v>46</v>
      </c>
    </row>
    <row r="30" spans="3:14" x14ac:dyDescent="0.25">
      <c r="C30" s="20" t="s">
        <v>66</v>
      </c>
      <c r="D30" s="20"/>
      <c r="E30" s="20"/>
      <c r="F30" s="8">
        <f>F21/F19</f>
        <v>0.46006389776357826</v>
      </c>
    </row>
    <row r="33" spans="3:14" x14ac:dyDescent="0.25">
      <c r="C33" t="s">
        <v>38</v>
      </c>
      <c r="F33" t="s">
        <v>64</v>
      </c>
      <c r="I33" t="s">
        <v>51</v>
      </c>
      <c r="M33" t="s">
        <v>54</v>
      </c>
    </row>
    <row r="34" spans="3:14" x14ac:dyDescent="0.25">
      <c r="F34"/>
    </row>
    <row r="35" spans="3:14" ht="23.25" x14ac:dyDescent="0.35">
      <c r="C35" s="17" t="s">
        <v>36</v>
      </c>
      <c r="D35" s="18" t="s">
        <v>37</v>
      </c>
      <c r="F35" s="17" t="s">
        <v>36</v>
      </c>
      <c r="G35" s="27" t="s">
        <v>72</v>
      </c>
      <c r="I35" s="17" t="s">
        <v>36</v>
      </c>
      <c r="J35" s="18" t="s">
        <v>37</v>
      </c>
      <c r="M35" s="19" t="s">
        <v>55</v>
      </c>
      <c r="N35" s="19" t="s">
        <v>56</v>
      </c>
    </row>
    <row r="36" spans="3:14" x14ac:dyDescent="0.25">
      <c r="C36" s="8">
        <v>30</v>
      </c>
      <c r="D36" s="8">
        <v>36</v>
      </c>
      <c r="F36" s="8">
        <v>30</v>
      </c>
      <c r="G36" s="8">
        <v>0.83</v>
      </c>
      <c r="I36" s="8">
        <v>30</v>
      </c>
      <c r="J36" s="8">
        <v>68</v>
      </c>
      <c r="M36" s="20"/>
      <c r="N36" s="20"/>
    </row>
    <row r="37" spans="3:14" x14ac:dyDescent="0.25">
      <c r="C37" s="8">
        <v>25</v>
      </c>
      <c r="D37" s="8">
        <v>35</v>
      </c>
      <c r="F37" s="8">
        <v>25</v>
      </c>
      <c r="G37" s="8">
        <v>0.71</v>
      </c>
      <c r="I37" s="8">
        <v>25</v>
      </c>
      <c r="J37" s="8">
        <v>60</v>
      </c>
      <c r="M37" s="20">
        <v>1.1000000000000001</v>
      </c>
      <c r="N37" s="8" t="s">
        <v>57</v>
      </c>
    </row>
    <row r="38" spans="3:14" x14ac:dyDescent="0.25">
      <c r="C38" s="8">
        <v>20</v>
      </c>
      <c r="D38" s="8">
        <v>34</v>
      </c>
      <c r="F38" s="8">
        <v>20</v>
      </c>
      <c r="G38" s="8">
        <v>0.59</v>
      </c>
      <c r="I38" s="8">
        <v>20</v>
      </c>
      <c r="J38" s="8">
        <v>52</v>
      </c>
      <c r="M38" s="20">
        <v>0.92</v>
      </c>
      <c r="N38" s="8" t="s">
        <v>58</v>
      </c>
    </row>
    <row r="39" spans="3:14" x14ac:dyDescent="0.25">
      <c r="C39" s="8">
        <v>15</v>
      </c>
      <c r="D39" s="8">
        <v>33</v>
      </c>
      <c r="F39" s="8">
        <v>15</v>
      </c>
      <c r="G39" s="8">
        <v>0.45</v>
      </c>
      <c r="I39" s="8">
        <v>15</v>
      </c>
      <c r="J39" s="8">
        <v>44</v>
      </c>
      <c r="M39" s="20">
        <v>0.74</v>
      </c>
      <c r="N39" s="8" t="s">
        <v>46</v>
      </c>
    </row>
    <row r="40" spans="3:14" x14ac:dyDescent="0.25">
      <c r="C40" s="8">
        <v>10</v>
      </c>
      <c r="D40" s="8">
        <v>31</v>
      </c>
      <c r="F40" s="8">
        <v>10</v>
      </c>
      <c r="G40" s="8">
        <v>0.32</v>
      </c>
      <c r="I40" s="8">
        <v>10</v>
      </c>
      <c r="J40" s="8">
        <v>36</v>
      </c>
      <c r="M40" s="20">
        <v>0.56000000000000005</v>
      </c>
      <c r="N40" s="8" t="s">
        <v>59</v>
      </c>
    </row>
    <row r="41" spans="3:14" x14ac:dyDescent="0.25">
      <c r="C41" s="8">
        <v>7.5</v>
      </c>
      <c r="D41" s="8">
        <v>29</v>
      </c>
      <c r="F41" s="8">
        <v>7.5</v>
      </c>
      <c r="G41" s="8">
        <v>0.26</v>
      </c>
      <c r="I41" s="8">
        <v>7.5</v>
      </c>
      <c r="J41" s="8">
        <v>28</v>
      </c>
      <c r="M41" s="20">
        <v>0.38</v>
      </c>
      <c r="N41" s="8" t="s">
        <v>60</v>
      </c>
    </row>
    <row r="42" spans="3:14" x14ac:dyDescent="0.25">
      <c r="M42" s="20">
        <v>0.2</v>
      </c>
      <c r="N42" s="8" t="s">
        <v>61</v>
      </c>
    </row>
    <row r="43" spans="3:14" x14ac:dyDescent="0.25">
      <c r="M43" s="20"/>
      <c r="N43" s="8" t="s">
        <v>62</v>
      </c>
    </row>
    <row r="44" spans="3:14" x14ac:dyDescent="0.25">
      <c r="C44" t="s">
        <v>39</v>
      </c>
      <c r="F44" t="s">
        <v>64</v>
      </c>
      <c r="I44" t="s">
        <v>52</v>
      </c>
      <c r="N44" s="1"/>
    </row>
    <row r="45" spans="3:14" x14ac:dyDescent="0.25">
      <c r="F45"/>
      <c r="N45" s="1"/>
    </row>
    <row r="46" spans="3:14" ht="23.25" x14ac:dyDescent="0.35">
      <c r="C46" s="17" t="s">
        <v>36</v>
      </c>
      <c r="D46" s="18" t="s">
        <v>37</v>
      </c>
      <c r="F46" s="17" t="s">
        <v>36</v>
      </c>
      <c r="G46" s="27" t="s">
        <v>72</v>
      </c>
      <c r="I46" s="17" t="s">
        <v>36</v>
      </c>
      <c r="J46" s="18" t="s">
        <v>37</v>
      </c>
      <c r="N46" s="1"/>
    </row>
    <row r="47" spans="3:14" x14ac:dyDescent="0.25">
      <c r="C47" s="8">
        <v>20</v>
      </c>
      <c r="D47" s="8">
        <v>18</v>
      </c>
      <c r="F47" s="8">
        <v>20</v>
      </c>
      <c r="G47" s="8">
        <v>1.1100000000000001</v>
      </c>
      <c r="I47" s="8">
        <v>20</v>
      </c>
      <c r="J47" s="8">
        <v>36</v>
      </c>
    </row>
    <row r="48" spans="3:14" x14ac:dyDescent="0.25">
      <c r="C48" s="8">
        <v>15</v>
      </c>
      <c r="D48" s="8">
        <v>17</v>
      </c>
      <c r="F48" s="8">
        <v>15</v>
      </c>
      <c r="G48" s="8">
        <v>0.88</v>
      </c>
      <c r="I48" s="8">
        <v>15</v>
      </c>
      <c r="J48" s="8">
        <v>30</v>
      </c>
    </row>
    <row r="49" spans="3:10" x14ac:dyDescent="0.25">
      <c r="C49" s="8">
        <v>10</v>
      </c>
      <c r="D49" s="8">
        <v>16</v>
      </c>
      <c r="F49" s="8">
        <v>10</v>
      </c>
      <c r="G49" s="8">
        <v>0.63</v>
      </c>
      <c r="I49" s="8">
        <v>10</v>
      </c>
      <c r="J49" s="8">
        <v>24</v>
      </c>
    </row>
    <row r="50" spans="3:10" x14ac:dyDescent="0.25">
      <c r="C50" s="8">
        <v>7.5</v>
      </c>
      <c r="D50" s="8">
        <v>14</v>
      </c>
      <c r="F50" s="8">
        <v>7.5</v>
      </c>
      <c r="G50" s="8">
        <v>0.53</v>
      </c>
      <c r="I50" s="8">
        <v>7.5</v>
      </c>
      <c r="J50" s="8">
        <v>18</v>
      </c>
    </row>
    <row r="51" spans="3:10" x14ac:dyDescent="0.25">
      <c r="C51" s="8">
        <v>5</v>
      </c>
      <c r="D51" s="8">
        <v>12</v>
      </c>
      <c r="F51" s="8">
        <v>5</v>
      </c>
      <c r="G51" s="8">
        <v>0.42</v>
      </c>
      <c r="I51" s="8">
        <v>5</v>
      </c>
      <c r="J51" s="8">
        <v>12</v>
      </c>
    </row>
    <row r="52" spans="3:10" x14ac:dyDescent="0.25">
      <c r="F52" s="8"/>
      <c r="G52" s="8"/>
    </row>
  </sheetData>
  <mergeCells count="3">
    <mergeCell ref="H18:I18"/>
    <mergeCell ref="K18:L18"/>
    <mergeCell ref="H22:I22"/>
  </mergeCells>
  <conditionalFormatting sqref="D6:D9">
    <cfRule type="expression" dxfId="1" priority="2">
      <formula>ISERROR(D6)</formula>
    </cfRule>
  </conditionalFormatting>
  <conditionalFormatting sqref="D12:D13">
    <cfRule type="expression" dxfId="0" priority="1">
      <formula>ISERROR(D12)</formula>
    </cfRule>
  </conditionalFormatting>
  <pageMargins left="0.70866141732283472" right="0.70866141732283472" top="0.74803149606299213" bottom="0.74803149606299213" header="0.31496062992125984" footer="0.31496062992125984"/>
  <pageSetup paperSize="9" scale="90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B855-EC91-4DC2-B47A-00C4E1BD48E1}">
  <dimension ref="A1:A7"/>
  <sheetViews>
    <sheetView tabSelected="1" workbookViewId="0"/>
  </sheetViews>
  <sheetFormatPr baseColWidth="10" defaultRowHeight="15" x14ac:dyDescent="0.25"/>
  <cols>
    <col min="1" max="1" width="92.7109375" customWidth="1"/>
  </cols>
  <sheetData>
    <row r="1" spans="1:1" ht="20.100000000000001" customHeight="1" x14ac:dyDescent="0.35">
      <c r="A1" s="30" t="s">
        <v>88</v>
      </c>
    </row>
    <row r="2" spans="1:1" ht="20.100000000000001" customHeight="1" x14ac:dyDescent="0.3">
      <c r="A2" s="31" t="s">
        <v>89</v>
      </c>
    </row>
    <row r="3" spans="1:1" ht="20.100000000000001" customHeight="1" x14ac:dyDescent="0.3">
      <c r="A3" s="31" t="s">
        <v>90</v>
      </c>
    </row>
    <row r="4" spans="1:1" ht="20.100000000000001" customHeight="1" x14ac:dyDescent="0.3">
      <c r="A4" s="31" t="s">
        <v>91</v>
      </c>
    </row>
    <row r="5" spans="1:1" ht="20.100000000000001" customHeight="1" x14ac:dyDescent="0.3">
      <c r="A5" s="31" t="s">
        <v>92</v>
      </c>
    </row>
    <row r="6" spans="1:1" ht="20.100000000000001" customHeight="1" x14ac:dyDescent="0.3">
      <c r="A6" s="31" t="s">
        <v>93</v>
      </c>
    </row>
    <row r="7" spans="1:1" ht="20.100000000000001" customHeight="1" x14ac:dyDescent="0.3">
      <c r="A7" s="3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15</vt:i4>
      </vt:variant>
    </vt:vector>
  </HeadingPairs>
  <TitlesOfParts>
    <vt:vector size="31" baseType="lpstr">
      <vt:lpstr>Sección 1.1</vt:lpstr>
      <vt:lpstr>Sección 1.3</vt:lpstr>
      <vt:lpstr>Sección 1.4</vt:lpstr>
      <vt:lpstr>Sección 1.6</vt:lpstr>
      <vt:lpstr>Sección 2.1</vt:lpstr>
      <vt:lpstr>Sección 2.2</vt:lpstr>
      <vt:lpstr>Sección 2.3</vt:lpstr>
      <vt:lpstr>Sección 2.4</vt:lpstr>
      <vt:lpstr>Rotonda puente</vt:lpstr>
      <vt:lpstr>Rotonda Guadalmar</vt:lpstr>
      <vt:lpstr>Vial mixto</vt:lpstr>
      <vt:lpstr>CE-1</vt:lpstr>
      <vt:lpstr>ZLP</vt:lpstr>
      <vt:lpstr>Zona juegos</vt:lpstr>
      <vt:lpstr>Estancia</vt:lpstr>
      <vt:lpstr>TRAZABILIDAD</vt:lpstr>
      <vt:lpstr>'CE-1'!Área_de_impresión</vt:lpstr>
      <vt:lpstr>Estancia!Área_de_impresión</vt:lpstr>
      <vt:lpstr>'Rotonda Guadalmar'!Área_de_impresión</vt:lpstr>
      <vt:lpstr>'Rotonda puente'!Área_de_impresión</vt:lpstr>
      <vt:lpstr>'Sección 1.1'!Área_de_impresión</vt:lpstr>
      <vt:lpstr>'Sección 1.3'!Área_de_impresión</vt:lpstr>
      <vt:lpstr>'Sección 1.4'!Área_de_impresión</vt:lpstr>
      <vt:lpstr>'Sección 1.6'!Área_de_impresión</vt:lpstr>
      <vt:lpstr>'Sección 2.1'!Área_de_impresión</vt:lpstr>
      <vt:lpstr>'Sección 2.2'!Área_de_impresión</vt:lpstr>
      <vt:lpstr>'Sección 2.3'!Área_de_impresión</vt:lpstr>
      <vt:lpstr>'Sección 2.4'!Área_de_impresión</vt:lpstr>
      <vt:lpstr>'Vial mixto'!Área_de_impresión</vt:lpstr>
      <vt:lpstr>ZLP!Área_de_impresión</vt:lpstr>
      <vt:lpstr>'Zona juegos'!Área_de_impresión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GARPUL</cp:lastModifiedBy>
  <cp:lastPrinted>2024-02-02T08:25:12Z</cp:lastPrinted>
  <dcterms:created xsi:type="dcterms:W3CDTF">2012-05-03T16:08:22Z</dcterms:created>
  <dcterms:modified xsi:type="dcterms:W3CDTF">2026-04-15T13:13:41Z</dcterms:modified>
</cp:coreProperties>
</file>