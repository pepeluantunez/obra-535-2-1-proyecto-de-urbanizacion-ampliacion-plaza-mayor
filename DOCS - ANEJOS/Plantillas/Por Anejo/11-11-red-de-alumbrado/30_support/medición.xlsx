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1.-Red de Alumbrado\"/>
    </mc:Choice>
  </mc:AlternateContent>
  <xr:revisionPtr revIDLastSave="0" documentId="13_ncr:1_{9164C25D-7D4A-47FC-A6E5-08BF55F0ABC3}" xr6:coauthVersionLast="47" xr6:coauthVersionMax="47" xr10:uidLastSave="{00000000-0000-0000-0000-000000000000}"/>
  <bookViews>
    <workbookView xWindow="-28920" yWindow="-120" windowWidth="29040" windowHeight="15720" activeTab="1" xr2:uid="{165C6212-CC02-4814-A15B-72820248B4BF}"/>
  </bookViews>
  <sheets>
    <sheet name="Hoja1" sheetId="1" r:id="rId1"/>
    <sheet name="TRAZABIL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K116" i="1" s="1"/>
  <c r="K72" i="1"/>
  <c r="K65" i="1"/>
  <c r="K108" i="1" s="1"/>
  <c r="K63" i="1"/>
  <c r="K106" i="1"/>
  <c r="K64" i="1"/>
  <c r="K107" i="1" s="1"/>
  <c r="K90" i="1"/>
  <c r="K89" i="1"/>
  <c r="K88" i="1"/>
  <c r="K87" i="1"/>
  <c r="K86" i="1"/>
  <c r="K79" i="1"/>
  <c r="K122" i="1" s="1"/>
  <c r="K78" i="1"/>
  <c r="K121" i="1" s="1"/>
  <c r="K75" i="1"/>
  <c r="K118" i="1" s="1"/>
  <c r="K70" i="1"/>
  <c r="K69" i="1"/>
  <c r="K68" i="1"/>
  <c r="K111" i="1" s="1"/>
  <c r="K61" i="1"/>
  <c r="K57" i="1"/>
  <c r="K56" i="1"/>
  <c r="K55" i="1"/>
  <c r="K54" i="1"/>
  <c r="K133" i="1"/>
  <c r="K132" i="1"/>
  <c r="K131" i="1"/>
  <c r="K130" i="1"/>
  <c r="K129" i="1"/>
  <c r="K96" i="1"/>
  <c r="K97" i="1"/>
  <c r="K98" i="1"/>
  <c r="K99" i="1"/>
  <c r="K100" i="1"/>
  <c r="K101" i="1"/>
  <c r="K102" i="1"/>
  <c r="K103" i="1"/>
  <c r="K104" i="1"/>
  <c r="K105" i="1"/>
  <c r="K109" i="1"/>
  <c r="K110" i="1"/>
  <c r="K112" i="1"/>
  <c r="K113" i="1"/>
  <c r="K114" i="1"/>
  <c r="K115" i="1"/>
  <c r="K117" i="1"/>
  <c r="K119" i="1"/>
  <c r="K120" i="1"/>
  <c r="K123" i="1"/>
  <c r="K124" i="1"/>
  <c r="K125" i="1"/>
  <c r="K126" i="1"/>
  <c r="K127" i="1"/>
  <c r="K128" i="1"/>
  <c r="K95" i="1"/>
  <c r="K85" i="1"/>
  <c r="K84" i="1"/>
  <c r="K83" i="1"/>
  <c r="K82" i="1"/>
  <c r="K81" i="1"/>
  <c r="K80" i="1"/>
  <c r="K77" i="1"/>
  <c r="K76" i="1"/>
  <c r="K74" i="1"/>
  <c r="K71" i="1"/>
  <c r="K67" i="1"/>
  <c r="K66" i="1"/>
  <c r="K62" i="1"/>
  <c r="K60" i="1"/>
  <c r="K59" i="1"/>
  <c r="K58" i="1"/>
  <c r="K53" i="1"/>
  <c r="K52" i="1"/>
</calcChain>
</file>

<file path=xl/sharedStrings.xml><?xml version="1.0" encoding="utf-8"?>
<sst xmlns="http://schemas.openxmlformats.org/spreadsheetml/2006/main" count="148" uniqueCount="52">
  <si>
    <t>Circuito 4x16</t>
  </si>
  <si>
    <t>C1</t>
  </si>
  <si>
    <t>rotonda Guadalmar</t>
  </si>
  <si>
    <t>Carretera de Guadalmar</t>
  </si>
  <si>
    <t>Cable tierra</t>
  </si>
  <si>
    <t>Columna 8 m</t>
  </si>
  <si>
    <t>Luiminaria BGP502 T25 LED120/730 DX50- 74 W</t>
  </si>
  <si>
    <t>Luiminaria BGP502 T25 LED50/730 DW50- 33 W</t>
  </si>
  <si>
    <t>Luiminaria BGP502 T25 LED80/730 DW10-51 W</t>
  </si>
  <si>
    <t>Brazo 0,5 metros</t>
  </si>
  <si>
    <t>Arcen central</t>
  </si>
  <si>
    <t>Tubo PEØ90 mm</t>
  </si>
  <si>
    <t>C2</t>
  </si>
  <si>
    <t>Circuito 4x10</t>
  </si>
  <si>
    <t>rotonda</t>
  </si>
  <si>
    <t>sección 1.6</t>
  </si>
  <si>
    <t>Carretera Campo Golf</t>
  </si>
  <si>
    <t>Luiminaria BGP502 T25 LED70/730 DM50-44,5 W</t>
  </si>
  <si>
    <t>Arqueta pie báculo</t>
  </si>
  <si>
    <t>Luiminaria BGP502 T25 LED140/730 DM11-87 W</t>
  </si>
  <si>
    <t>sección 2.1</t>
  </si>
  <si>
    <t>Luiminaria BGP502 T25 LED100/730 DW50-61 W</t>
  </si>
  <si>
    <t>sección 2.2</t>
  </si>
  <si>
    <t>C3</t>
  </si>
  <si>
    <t>sección 2.4</t>
  </si>
  <si>
    <t>Luiminaria BGP502 T25 LED75/730 DM12-48 W</t>
  </si>
  <si>
    <t>Rotonda Guadalmar</t>
  </si>
  <si>
    <t>Rotonda puente</t>
  </si>
  <si>
    <t>Excavación</t>
  </si>
  <si>
    <t>Sección 1.4</t>
  </si>
  <si>
    <t>Mediana</t>
  </si>
  <si>
    <t>Nº tubos</t>
  </si>
  <si>
    <t>Acera</t>
  </si>
  <si>
    <t>Cruce calzada</t>
  </si>
  <si>
    <t>Mediana Guadalmar</t>
  </si>
  <si>
    <t>Rotonda Puente</t>
  </si>
  <si>
    <t>Sección 1.6</t>
  </si>
  <si>
    <t>Sección 2.2</t>
  </si>
  <si>
    <t>Hormigón</t>
  </si>
  <si>
    <t>Relleno</t>
  </si>
  <si>
    <t>Arquetas de cruce</t>
  </si>
  <si>
    <t>Sección 1.1</t>
  </si>
  <si>
    <t>Acera mediana</t>
  </si>
  <si>
    <t>Sección 2.3</t>
  </si>
  <si>
    <t>Sección 2.4</t>
  </si>
  <si>
    <t>PROYECTO ORDINARIO DE URBANIZACIÓN DE MEJORA DE LA CARRETERA DE GUADALMAR (SG.BM-3). MÁLAGA.</t>
  </si>
  <si>
    <t>Anexo 11: Red de alumbrado</t>
  </si>
  <si>
    <t>Libro auxiliar de medición asociado al anejo 11.</t>
  </si>
  <si>
    <t>Documento auxiliar integrado en la trazabilidad documental del proyecto.</t>
  </si>
  <si>
    <t>Clave de proyecto: SG.BM-3</t>
  </si>
  <si>
    <t>Ubicacion: Mejora de la Carretera de Guadalmar, Malaga</t>
  </si>
  <si>
    <t>Actualizado: 2026-04-15 15:13:41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</si>
</sst>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Montserrat"/>
    </font>
    <font>
      <sz val="10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72A4-4061-4A79-AE8A-D313029BBACB}">
  <dimension ref="A1:Q133"/>
  <sheetViews>
    <sheetView topLeftCell="A93" zoomScale="85" zoomScaleNormal="85" workbookViewId="0">
      <selection activeCell="G94" sqref="G94:K133"/>
    </sheetView>
  </sheetViews>
  <sheetFormatPr baseColWidth="10" defaultRowHeight="15" x14ac:dyDescent="0.25"/>
  <cols>
    <col min="1" max="1" width="22.42578125" bestFit="1" customWidth="1"/>
    <col min="7" max="7" width="22.42578125" bestFit="1" customWidth="1"/>
    <col min="12" max="12" width="22.42578125" bestFit="1" customWidth="1"/>
    <col min="15" max="15" width="25.28515625" customWidth="1"/>
  </cols>
  <sheetData>
    <row r="1" spans="1:16" x14ac:dyDescent="0.25">
      <c r="A1" s="3" t="s">
        <v>0</v>
      </c>
      <c r="G1" s="3" t="s">
        <v>4</v>
      </c>
      <c r="L1" s="3" t="s">
        <v>5</v>
      </c>
      <c r="O1" s="3" t="s">
        <v>6</v>
      </c>
    </row>
    <row r="2" spans="1:16" x14ac:dyDescent="0.25">
      <c r="A2" t="s">
        <v>1</v>
      </c>
      <c r="B2" s="1">
        <v>1</v>
      </c>
      <c r="C2" s="1">
        <v>11</v>
      </c>
      <c r="G2" t="s">
        <v>1</v>
      </c>
      <c r="H2" s="1">
        <v>1</v>
      </c>
      <c r="I2" s="1">
        <v>11</v>
      </c>
      <c r="L2" t="s">
        <v>1</v>
      </c>
      <c r="O2" t="s">
        <v>1</v>
      </c>
    </row>
    <row r="3" spans="1:16" x14ac:dyDescent="0.25">
      <c r="B3">
        <v>1</v>
      </c>
      <c r="C3">
        <v>650</v>
      </c>
      <c r="H3">
        <v>1</v>
      </c>
      <c r="I3">
        <v>650</v>
      </c>
      <c r="L3" t="s">
        <v>26</v>
      </c>
      <c r="M3">
        <v>8</v>
      </c>
      <c r="O3" t="s">
        <v>26</v>
      </c>
      <c r="P3">
        <v>8</v>
      </c>
    </row>
    <row r="4" spans="1:16" x14ac:dyDescent="0.25">
      <c r="A4" t="s">
        <v>26</v>
      </c>
      <c r="B4" s="1">
        <v>1</v>
      </c>
      <c r="C4" s="1">
        <v>16</v>
      </c>
      <c r="G4" t="s">
        <v>2</v>
      </c>
      <c r="H4" s="1">
        <v>1</v>
      </c>
      <c r="I4" s="1">
        <v>16</v>
      </c>
      <c r="L4" t="s">
        <v>3</v>
      </c>
      <c r="M4">
        <v>3</v>
      </c>
      <c r="O4" t="s">
        <v>12</v>
      </c>
    </row>
    <row r="5" spans="1:16" x14ac:dyDescent="0.25">
      <c r="B5" s="1">
        <v>1</v>
      </c>
      <c r="C5" s="1">
        <v>13</v>
      </c>
      <c r="H5" s="1">
        <v>1</v>
      </c>
      <c r="I5" s="1">
        <v>13</v>
      </c>
      <c r="L5" t="s">
        <v>10</v>
      </c>
      <c r="M5">
        <v>33</v>
      </c>
      <c r="O5" t="s">
        <v>27</v>
      </c>
      <c r="P5">
        <v>10</v>
      </c>
    </row>
    <row r="6" spans="1:16" x14ac:dyDescent="0.25">
      <c r="B6" s="1">
        <v>1</v>
      </c>
      <c r="C6" s="1">
        <v>18</v>
      </c>
      <c r="H6" s="1">
        <v>1</v>
      </c>
      <c r="I6" s="1">
        <v>18</v>
      </c>
      <c r="L6" t="s">
        <v>12</v>
      </c>
    </row>
    <row r="7" spans="1:16" x14ac:dyDescent="0.25">
      <c r="B7" s="2">
        <v>1</v>
      </c>
      <c r="C7" s="2">
        <v>7</v>
      </c>
      <c r="H7" s="2">
        <v>1</v>
      </c>
      <c r="I7" s="2">
        <v>7</v>
      </c>
      <c r="L7" t="s">
        <v>10</v>
      </c>
      <c r="M7">
        <v>15</v>
      </c>
      <c r="O7" s="2"/>
    </row>
    <row r="8" spans="1:16" x14ac:dyDescent="0.25">
      <c r="B8" s="2">
        <v>1</v>
      </c>
      <c r="C8" s="2">
        <v>12</v>
      </c>
      <c r="H8" s="2">
        <v>1</v>
      </c>
      <c r="I8" s="2">
        <v>12</v>
      </c>
      <c r="L8" t="s">
        <v>26</v>
      </c>
      <c r="M8">
        <v>10</v>
      </c>
      <c r="O8" s="4" t="s">
        <v>7</v>
      </c>
      <c r="P8" s="1"/>
    </row>
    <row r="9" spans="1:16" x14ac:dyDescent="0.25">
      <c r="B9" s="1">
        <v>1</v>
      </c>
      <c r="C9" s="1">
        <v>35</v>
      </c>
      <c r="H9" s="1">
        <v>1</v>
      </c>
      <c r="I9" s="1">
        <v>35</v>
      </c>
      <c r="L9" t="s">
        <v>15</v>
      </c>
      <c r="M9">
        <v>10</v>
      </c>
      <c r="O9" s="2" t="s">
        <v>1</v>
      </c>
      <c r="P9" s="1"/>
    </row>
    <row r="10" spans="1:16" x14ac:dyDescent="0.25">
      <c r="B10" s="2">
        <v>1</v>
      </c>
      <c r="C10" s="2">
        <v>17</v>
      </c>
      <c r="H10" s="2">
        <v>1</v>
      </c>
      <c r="I10" s="2">
        <v>17</v>
      </c>
      <c r="L10" t="s">
        <v>20</v>
      </c>
      <c r="M10">
        <v>3</v>
      </c>
      <c r="O10" s="2" t="s">
        <v>3</v>
      </c>
      <c r="P10" s="1">
        <v>3</v>
      </c>
    </row>
    <row r="11" spans="1:16" x14ac:dyDescent="0.25">
      <c r="A11" t="s">
        <v>3</v>
      </c>
      <c r="B11" s="2">
        <v>1</v>
      </c>
      <c r="C11" s="2">
        <v>65</v>
      </c>
      <c r="G11" t="s">
        <v>3</v>
      </c>
      <c r="H11" s="2">
        <v>1</v>
      </c>
      <c r="I11" s="2">
        <v>65</v>
      </c>
      <c r="L11" t="s">
        <v>22</v>
      </c>
      <c r="M11">
        <v>12</v>
      </c>
    </row>
    <row r="12" spans="1:16" x14ac:dyDescent="0.25">
      <c r="A12" t="s">
        <v>23</v>
      </c>
      <c r="B12" s="2">
        <v>1</v>
      </c>
      <c r="C12" s="2">
        <v>295</v>
      </c>
      <c r="G12" t="s">
        <v>12</v>
      </c>
      <c r="H12" s="1">
        <v>1</v>
      </c>
      <c r="I12" s="1">
        <v>11</v>
      </c>
      <c r="L12" t="s">
        <v>23</v>
      </c>
      <c r="O12" s="4" t="s">
        <v>8</v>
      </c>
      <c r="P12" s="1"/>
    </row>
    <row r="13" spans="1:16" x14ac:dyDescent="0.25">
      <c r="A13" t="s">
        <v>27</v>
      </c>
      <c r="B13" s="2">
        <v>1</v>
      </c>
      <c r="C13" s="2">
        <v>44</v>
      </c>
      <c r="H13">
        <v>1</v>
      </c>
      <c r="I13">
        <v>297</v>
      </c>
      <c r="L13" t="s">
        <v>22</v>
      </c>
      <c r="M13">
        <v>24</v>
      </c>
      <c r="O13" s="2" t="s">
        <v>1</v>
      </c>
      <c r="P13" s="1"/>
    </row>
    <row r="14" spans="1:16" x14ac:dyDescent="0.25">
      <c r="B14" s="2">
        <v>1</v>
      </c>
      <c r="C14" s="2">
        <v>56</v>
      </c>
      <c r="G14" t="s">
        <v>14</v>
      </c>
      <c r="H14">
        <v>1</v>
      </c>
      <c r="I14">
        <v>20</v>
      </c>
      <c r="L14" t="s">
        <v>24</v>
      </c>
      <c r="M14">
        <v>14</v>
      </c>
      <c r="O14" s="2" t="s">
        <v>3</v>
      </c>
      <c r="P14" s="1">
        <v>3</v>
      </c>
    </row>
    <row r="15" spans="1:16" x14ac:dyDescent="0.25">
      <c r="B15" s="1">
        <v>1</v>
      </c>
      <c r="C15" s="1">
        <v>9</v>
      </c>
      <c r="H15">
        <v>1</v>
      </c>
      <c r="I15">
        <v>40</v>
      </c>
      <c r="O15" s="2" t="s">
        <v>10</v>
      </c>
      <c r="P15" s="1">
        <v>66</v>
      </c>
    </row>
    <row r="16" spans="1:16" x14ac:dyDescent="0.25">
      <c r="A16" t="s">
        <v>15</v>
      </c>
      <c r="B16" s="2">
        <v>1</v>
      </c>
      <c r="C16" s="2">
        <v>235</v>
      </c>
      <c r="H16">
        <v>1</v>
      </c>
      <c r="I16">
        <v>56</v>
      </c>
      <c r="O16" s="2" t="s">
        <v>12</v>
      </c>
      <c r="P16" s="1"/>
    </row>
    <row r="17" spans="1:16" x14ac:dyDescent="0.25">
      <c r="A17" t="s">
        <v>16</v>
      </c>
      <c r="B17" s="2">
        <v>1</v>
      </c>
      <c r="C17" s="2">
        <v>166</v>
      </c>
      <c r="H17">
        <v>1</v>
      </c>
      <c r="I17">
        <v>36</v>
      </c>
      <c r="L17" s="3" t="s">
        <v>9</v>
      </c>
      <c r="O17" s="2" t="s">
        <v>10</v>
      </c>
      <c r="P17" s="1">
        <v>30</v>
      </c>
    </row>
    <row r="18" spans="1:16" x14ac:dyDescent="0.25">
      <c r="B18" s="2">
        <v>1</v>
      </c>
      <c r="C18" s="2">
        <v>645</v>
      </c>
      <c r="H18" s="1">
        <v>1</v>
      </c>
      <c r="I18" s="1">
        <v>15</v>
      </c>
      <c r="L18" t="s">
        <v>1</v>
      </c>
    </row>
    <row r="19" spans="1:16" x14ac:dyDescent="0.25">
      <c r="B19" s="1">
        <v>1</v>
      </c>
      <c r="C19" s="1">
        <v>11</v>
      </c>
      <c r="H19" s="1">
        <v>1</v>
      </c>
      <c r="I19" s="1">
        <v>18</v>
      </c>
      <c r="L19" t="s">
        <v>3</v>
      </c>
      <c r="M19">
        <v>6</v>
      </c>
    </row>
    <row r="20" spans="1:16" x14ac:dyDescent="0.25">
      <c r="B20" s="1">
        <v>1</v>
      </c>
      <c r="C20" s="1">
        <v>10</v>
      </c>
      <c r="H20" s="1">
        <v>1</v>
      </c>
      <c r="I20" s="1">
        <v>17</v>
      </c>
      <c r="L20" t="s">
        <v>10</v>
      </c>
      <c r="M20">
        <v>66</v>
      </c>
      <c r="O20" s="3" t="s">
        <v>17</v>
      </c>
    </row>
    <row r="21" spans="1:16" x14ac:dyDescent="0.25">
      <c r="B21" s="2">
        <v>1</v>
      </c>
      <c r="C21" s="2">
        <v>56</v>
      </c>
      <c r="H21" s="1">
        <v>1</v>
      </c>
      <c r="I21" s="1">
        <v>8</v>
      </c>
      <c r="L21" t="s">
        <v>12</v>
      </c>
      <c r="O21" t="s">
        <v>12</v>
      </c>
    </row>
    <row r="22" spans="1:16" x14ac:dyDescent="0.25">
      <c r="B22" s="1">
        <v>1</v>
      </c>
      <c r="C22" s="1">
        <v>17</v>
      </c>
      <c r="G22" t="s">
        <v>15</v>
      </c>
      <c r="H22" s="2">
        <v>1</v>
      </c>
      <c r="I22" s="2">
        <v>124</v>
      </c>
      <c r="L22" t="s">
        <v>10</v>
      </c>
      <c r="M22">
        <v>30</v>
      </c>
      <c r="O22" t="s">
        <v>15</v>
      </c>
      <c r="P22">
        <v>10</v>
      </c>
    </row>
    <row r="23" spans="1:16" x14ac:dyDescent="0.25">
      <c r="B23" s="2">
        <v>1</v>
      </c>
      <c r="C23" s="2">
        <v>54</v>
      </c>
      <c r="H23" s="1">
        <v>1</v>
      </c>
      <c r="I23" s="1">
        <v>8</v>
      </c>
    </row>
    <row r="24" spans="1:16" x14ac:dyDescent="0.25">
      <c r="B24" s="1">
        <v>1</v>
      </c>
      <c r="C24" s="1">
        <v>22</v>
      </c>
      <c r="H24" s="2">
        <v>1</v>
      </c>
      <c r="I24" s="2">
        <v>236</v>
      </c>
    </row>
    <row r="25" spans="1:16" x14ac:dyDescent="0.25">
      <c r="B25" s="2">
        <v>1</v>
      </c>
      <c r="C25" s="2">
        <v>31</v>
      </c>
      <c r="G25" t="s">
        <v>16</v>
      </c>
      <c r="H25" s="1">
        <v>1</v>
      </c>
      <c r="I25" s="1">
        <v>11</v>
      </c>
      <c r="O25" s="3" t="s">
        <v>19</v>
      </c>
    </row>
    <row r="26" spans="1:16" x14ac:dyDescent="0.25">
      <c r="B26" s="1">
        <v>1</v>
      </c>
      <c r="C26" s="1">
        <v>11</v>
      </c>
      <c r="H26" s="2">
        <v>1</v>
      </c>
      <c r="I26" s="2">
        <v>155</v>
      </c>
      <c r="O26" t="s">
        <v>12</v>
      </c>
    </row>
    <row r="27" spans="1:16" x14ac:dyDescent="0.25">
      <c r="B27" s="2">
        <v>1</v>
      </c>
      <c r="C27" s="2">
        <v>89</v>
      </c>
      <c r="H27" s="2">
        <v>1</v>
      </c>
      <c r="I27" s="2">
        <v>166</v>
      </c>
      <c r="L27" s="3" t="s">
        <v>18</v>
      </c>
      <c r="O27" t="s">
        <v>20</v>
      </c>
      <c r="P27">
        <v>3</v>
      </c>
    </row>
    <row r="28" spans="1:16" x14ac:dyDescent="0.25">
      <c r="B28" s="1">
        <v>1</v>
      </c>
      <c r="C28" s="1">
        <v>8</v>
      </c>
      <c r="G28" t="s">
        <v>23</v>
      </c>
      <c r="H28" s="2">
        <v>1</v>
      </c>
      <c r="I28" s="2">
        <v>295</v>
      </c>
      <c r="L28" t="s">
        <v>1</v>
      </c>
    </row>
    <row r="29" spans="1:16" x14ac:dyDescent="0.25">
      <c r="B29" s="2">
        <v>1</v>
      </c>
      <c r="C29" s="2">
        <v>33</v>
      </c>
      <c r="G29" t="s">
        <v>27</v>
      </c>
      <c r="H29" s="2">
        <v>1</v>
      </c>
      <c r="I29" s="2">
        <v>44</v>
      </c>
      <c r="L29" t="s">
        <v>26</v>
      </c>
      <c r="M29">
        <v>8</v>
      </c>
      <c r="O29" s="3" t="s">
        <v>21</v>
      </c>
    </row>
    <row r="30" spans="1:16" x14ac:dyDescent="0.25">
      <c r="B30" s="1">
        <v>1</v>
      </c>
      <c r="C30" s="1">
        <v>12</v>
      </c>
      <c r="H30" s="2">
        <v>1</v>
      </c>
      <c r="I30" s="2">
        <v>56</v>
      </c>
      <c r="L30" t="s">
        <v>3</v>
      </c>
      <c r="M30">
        <v>3</v>
      </c>
      <c r="O30" t="s">
        <v>12</v>
      </c>
    </row>
    <row r="31" spans="1:16" x14ac:dyDescent="0.25">
      <c r="B31" s="2">
        <v>1</v>
      </c>
      <c r="C31" s="2">
        <v>35</v>
      </c>
      <c r="H31" s="1">
        <v>1</v>
      </c>
      <c r="I31" s="1">
        <v>9</v>
      </c>
      <c r="L31" t="s">
        <v>10</v>
      </c>
      <c r="M31">
        <v>33</v>
      </c>
      <c r="O31" t="s">
        <v>22</v>
      </c>
      <c r="P31">
        <v>12</v>
      </c>
    </row>
    <row r="32" spans="1:16" x14ac:dyDescent="0.25">
      <c r="B32" s="1"/>
      <c r="C32" s="1"/>
      <c r="G32" t="s">
        <v>15</v>
      </c>
      <c r="H32" s="2">
        <v>1</v>
      </c>
      <c r="I32" s="2">
        <v>235</v>
      </c>
      <c r="L32" t="s">
        <v>12</v>
      </c>
      <c r="O32" t="s">
        <v>23</v>
      </c>
    </row>
    <row r="33" spans="1:16" x14ac:dyDescent="0.25">
      <c r="A33" s="3" t="s">
        <v>13</v>
      </c>
      <c r="G33" t="s">
        <v>16</v>
      </c>
      <c r="H33" s="2">
        <v>1</v>
      </c>
      <c r="I33" s="2">
        <v>166</v>
      </c>
      <c r="L33" t="s">
        <v>10</v>
      </c>
      <c r="M33">
        <v>15</v>
      </c>
      <c r="O33" t="s">
        <v>22</v>
      </c>
      <c r="P33">
        <v>24</v>
      </c>
    </row>
    <row r="34" spans="1:16" x14ac:dyDescent="0.25">
      <c r="A34" t="s">
        <v>12</v>
      </c>
      <c r="B34" s="1">
        <v>1</v>
      </c>
      <c r="C34" s="1">
        <v>11</v>
      </c>
      <c r="H34" s="2">
        <v>1</v>
      </c>
      <c r="I34" s="2">
        <v>645</v>
      </c>
      <c r="L34" t="s">
        <v>26</v>
      </c>
      <c r="M34">
        <v>10</v>
      </c>
    </row>
    <row r="35" spans="1:16" x14ac:dyDescent="0.25">
      <c r="B35">
        <v>1</v>
      </c>
      <c r="C35">
        <v>297</v>
      </c>
      <c r="H35" s="1">
        <v>1</v>
      </c>
      <c r="I35" s="1">
        <v>11</v>
      </c>
      <c r="L35" t="s">
        <v>15</v>
      </c>
      <c r="M35">
        <v>10</v>
      </c>
    </row>
    <row r="36" spans="1:16" x14ac:dyDescent="0.25">
      <c r="A36" t="s">
        <v>27</v>
      </c>
      <c r="B36">
        <v>1</v>
      </c>
      <c r="C36">
        <v>20</v>
      </c>
      <c r="H36" s="1">
        <v>1</v>
      </c>
      <c r="I36" s="1">
        <v>10</v>
      </c>
      <c r="L36" t="s">
        <v>20</v>
      </c>
      <c r="M36">
        <v>3</v>
      </c>
      <c r="O36" s="3" t="s">
        <v>25</v>
      </c>
    </row>
    <row r="37" spans="1:16" x14ac:dyDescent="0.25">
      <c r="B37">
        <v>1</v>
      </c>
      <c r="C37">
        <v>40</v>
      </c>
      <c r="H37" s="2">
        <v>1</v>
      </c>
      <c r="I37" s="2">
        <v>56</v>
      </c>
      <c r="L37" t="s">
        <v>22</v>
      </c>
      <c r="M37">
        <v>12</v>
      </c>
      <c r="O37" t="s">
        <v>23</v>
      </c>
    </row>
    <row r="38" spans="1:16" x14ac:dyDescent="0.25">
      <c r="B38">
        <v>1</v>
      </c>
      <c r="C38">
        <v>56</v>
      </c>
      <c r="H38" s="1">
        <v>1</v>
      </c>
      <c r="I38" s="1">
        <v>17</v>
      </c>
      <c r="L38" t="s">
        <v>23</v>
      </c>
      <c r="O38" t="s">
        <v>24</v>
      </c>
      <c r="P38">
        <v>14</v>
      </c>
    </row>
    <row r="39" spans="1:16" x14ac:dyDescent="0.25">
      <c r="B39">
        <v>1</v>
      </c>
      <c r="C39">
        <v>36</v>
      </c>
      <c r="H39" s="2">
        <v>1</v>
      </c>
      <c r="I39" s="2">
        <v>54</v>
      </c>
      <c r="L39" t="s">
        <v>22</v>
      </c>
      <c r="M39">
        <v>24</v>
      </c>
    </row>
    <row r="40" spans="1:16" x14ac:dyDescent="0.25">
      <c r="B40" s="1">
        <v>1</v>
      </c>
      <c r="C40" s="1">
        <v>15</v>
      </c>
      <c r="H40" s="1">
        <v>1</v>
      </c>
      <c r="I40" s="1">
        <v>22</v>
      </c>
      <c r="L40" t="s">
        <v>24</v>
      </c>
      <c r="M40">
        <v>14</v>
      </c>
    </row>
    <row r="41" spans="1:16" x14ac:dyDescent="0.25">
      <c r="B41" s="1">
        <v>1</v>
      </c>
      <c r="C41" s="1">
        <v>18</v>
      </c>
      <c r="H41" s="2">
        <v>1</v>
      </c>
      <c r="I41" s="2">
        <v>31</v>
      </c>
    </row>
    <row r="42" spans="1:16" x14ac:dyDescent="0.25">
      <c r="B42" s="1">
        <v>1</v>
      </c>
      <c r="C42" s="1">
        <v>17</v>
      </c>
      <c r="H42" s="1">
        <v>1</v>
      </c>
      <c r="I42" s="1">
        <v>11</v>
      </c>
    </row>
    <row r="43" spans="1:16" x14ac:dyDescent="0.25">
      <c r="B43" s="1">
        <v>1</v>
      </c>
      <c r="C43" s="1">
        <v>8</v>
      </c>
      <c r="H43" s="2">
        <v>1</v>
      </c>
      <c r="I43" s="2">
        <v>89</v>
      </c>
    </row>
    <row r="44" spans="1:16" x14ac:dyDescent="0.25">
      <c r="A44" t="s">
        <v>15</v>
      </c>
      <c r="B44" s="2">
        <v>1</v>
      </c>
      <c r="C44" s="2">
        <v>124</v>
      </c>
      <c r="H44" s="1">
        <v>1</v>
      </c>
      <c r="I44" s="1">
        <v>8</v>
      </c>
    </row>
    <row r="45" spans="1:16" x14ac:dyDescent="0.25">
      <c r="B45" s="1">
        <v>1</v>
      </c>
      <c r="C45" s="1">
        <v>8</v>
      </c>
      <c r="H45" s="2">
        <v>1</v>
      </c>
      <c r="I45" s="2">
        <v>33</v>
      </c>
    </row>
    <row r="46" spans="1:16" x14ac:dyDescent="0.25">
      <c r="B46" s="2">
        <v>1</v>
      </c>
      <c r="C46" s="2">
        <v>236</v>
      </c>
      <c r="H46" s="1">
        <v>1</v>
      </c>
      <c r="I46" s="1">
        <v>12</v>
      </c>
    </row>
    <row r="47" spans="1:16" x14ac:dyDescent="0.25">
      <c r="A47" t="s">
        <v>16</v>
      </c>
      <c r="B47" s="1">
        <v>1</v>
      </c>
      <c r="C47" s="1">
        <v>11</v>
      </c>
      <c r="H47" s="2">
        <v>1</v>
      </c>
      <c r="I47" s="2">
        <v>35</v>
      </c>
    </row>
    <row r="48" spans="1:16" x14ac:dyDescent="0.25">
      <c r="B48" s="2">
        <v>1</v>
      </c>
      <c r="C48" s="2">
        <v>155</v>
      </c>
    </row>
    <row r="49" spans="1:17" x14ac:dyDescent="0.25">
      <c r="B49" s="2">
        <v>1</v>
      </c>
      <c r="C49" s="2">
        <v>166</v>
      </c>
    </row>
    <row r="50" spans="1:17" x14ac:dyDescent="0.25">
      <c r="G50" s="3" t="s">
        <v>28</v>
      </c>
      <c r="H50" t="s">
        <v>31</v>
      </c>
      <c r="M50" s="3" t="s">
        <v>38</v>
      </c>
      <c r="N50" t="s">
        <v>31</v>
      </c>
    </row>
    <row r="51" spans="1:17" x14ac:dyDescent="0.25">
      <c r="A51" s="3" t="s">
        <v>11</v>
      </c>
      <c r="G51" t="s">
        <v>29</v>
      </c>
      <c r="H51" s="1"/>
      <c r="I51" s="1"/>
      <c r="M51" t="s">
        <v>29</v>
      </c>
      <c r="N51" s="1"/>
      <c r="O51" s="1"/>
    </row>
    <row r="52" spans="1:17" x14ac:dyDescent="0.25">
      <c r="A52" t="s">
        <v>1</v>
      </c>
      <c r="B52" s="1">
        <v>4</v>
      </c>
      <c r="C52" s="1">
        <v>11</v>
      </c>
      <c r="G52" t="s">
        <v>30</v>
      </c>
      <c r="H52">
        <v>1</v>
      </c>
      <c r="I52">
        <v>945</v>
      </c>
      <c r="J52">
        <v>0.4</v>
      </c>
      <c r="K52">
        <f>0.6-0.17</f>
        <v>0.42999999999999994</v>
      </c>
      <c r="M52" t="s">
        <v>30</v>
      </c>
      <c r="N52">
        <v>1</v>
      </c>
      <c r="O52">
        <v>945</v>
      </c>
      <c r="P52">
        <v>0.4</v>
      </c>
      <c r="Q52">
        <v>0.2</v>
      </c>
    </row>
    <row r="53" spans="1:17" x14ac:dyDescent="0.25">
      <c r="B53">
        <v>2</v>
      </c>
      <c r="C53">
        <v>650</v>
      </c>
      <c r="G53" t="s">
        <v>32</v>
      </c>
      <c r="H53">
        <v>1</v>
      </c>
      <c r="I53" s="2">
        <v>295</v>
      </c>
      <c r="J53">
        <v>0.4</v>
      </c>
      <c r="K53">
        <f>0.6-0.17</f>
        <v>0.42999999999999994</v>
      </c>
      <c r="M53" t="s">
        <v>32</v>
      </c>
      <c r="N53">
        <v>1</v>
      </c>
      <c r="O53" s="2">
        <v>295</v>
      </c>
      <c r="P53">
        <v>0.4</v>
      </c>
      <c r="Q53">
        <v>0.2</v>
      </c>
    </row>
    <row r="54" spans="1:17" x14ac:dyDescent="0.25">
      <c r="A54" t="s">
        <v>2</v>
      </c>
      <c r="B54" s="1">
        <v>2</v>
      </c>
      <c r="C54" s="1">
        <v>16</v>
      </c>
      <c r="G54" t="s">
        <v>33</v>
      </c>
      <c r="H54">
        <v>1</v>
      </c>
      <c r="I54" s="1">
        <v>10</v>
      </c>
      <c r="J54">
        <v>0.4</v>
      </c>
      <c r="K54">
        <f>1-0.35</f>
        <v>0.65</v>
      </c>
      <c r="M54" t="s">
        <v>33</v>
      </c>
      <c r="N54">
        <v>1</v>
      </c>
      <c r="O54" s="1">
        <v>10</v>
      </c>
      <c r="P54">
        <v>0.4</v>
      </c>
      <c r="Q54">
        <v>0.31</v>
      </c>
    </row>
    <row r="55" spans="1:17" x14ac:dyDescent="0.25">
      <c r="B55" s="1">
        <v>2</v>
      </c>
      <c r="C55" s="1">
        <v>13</v>
      </c>
      <c r="G55" t="s">
        <v>26</v>
      </c>
      <c r="H55">
        <v>1</v>
      </c>
      <c r="I55" s="1">
        <v>13</v>
      </c>
      <c r="J55">
        <v>0.4</v>
      </c>
      <c r="K55">
        <f>1-0.35</f>
        <v>0.65</v>
      </c>
      <c r="M55" t="s">
        <v>26</v>
      </c>
      <c r="N55">
        <v>1</v>
      </c>
      <c r="O55" s="1">
        <v>13</v>
      </c>
      <c r="P55">
        <v>0.4</v>
      </c>
      <c r="Q55">
        <v>0.2</v>
      </c>
    </row>
    <row r="56" spans="1:17" x14ac:dyDescent="0.25">
      <c r="B56" s="1">
        <v>2</v>
      </c>
      <c r="C56" s="1">
        <v>18</v>
      </c>
      <c r="H56">
        <v>1</v>
      </c>
      <c r="I56" s="1">
        <v>16</v>
      </c>
      <c r="J56">
        <v>0.4</v>
      </c>
      <c r="K56">
        <f>1-0.35</f>
        <v>0.65</v>
      </c>
      <c r="N56">
        <v>1</v>
      </c>
      <c r="O56" s="1">
        <v>16</v>
      </c>
      <c r="P56">
        <v>0.4</v>
      </c>
      <c r="Q56">
        <v>0.2</v>
      </c>
    </row>
    <row r="57" spans="1:17" x14ac:dyDescent="0.25">
      <c r="B57" s="2">
        <v>2</v>
      </c>
      <c r="C57" s="2">
        <v>7</v>
      </c>
      <c r="H57">
        <v>1</v>
      </c>
      <c r="I57" s="1">
        <v>35</v>
      </c>
      <c r="J57">
        <v>0.4</v>
      </c>
      <c r="K57">
        <f>1-0.35</f>
        <v>0.65</v>
      </c>
      <c r="N57">
        <v>1</v>
      </c>
      <c r="O57" s="1">
        <v>35</v>
      </c>
      <c r="P57">
        <v>0.4</v>
      </c>
      <c r="Q57">
        <v>0.2</v>
      </c>
    </row>
    <row r="58" spans="1:17" x14ac:dyDescent="0.25">
      <c r="B58" s="2">
        <v>2</v>
      </c>
      <c r="C58" s="2">
        <v>12</v>
      </c>
      <c r="H58">
        <v>1</v>
      </c>
      <c r="I58" s="2">
        <v>14</v>
      </c>
      <c r="J58">
        <v>0.4</v>
      </c>
      <c r="K58">
        <f t="shared" ref="K58:K60" si="0">0.6-0.17</f>
        <v>0.42999999999999994</v>
      </c>
      <c r="N58">
        <v>1</v>
      </c>
      <c r="O58" s="2">
        <v>14</v>
      </c>
      <c r="P58">
        <v>0.4</v>
      </c>
      <c r="Q58">
        <v>0.2</v>
      </c>
    </row>
    <row r="59" spans="1:17" x14ac:dyDescent="0.25">
      <c r="B59" s="1">
        <v>2</v>
      </c>
      <c r="C59" s="1">
        <v>35</v>
      </c>
      <c r="H59">
        <v>1</v>
      </c>
      <c r="I59" s="2">
        <v>7</v>
      </c>
      <c r="J59">
        <v>0.4</v>
      </c>
      <c r="K59">
        <f t="shared" si="0"/>
        <v>0.42999999999999994</v>
      </c>
      <c r="N59">
        <v>1</v>
      </c>
      <c r="O59" s="2">
        <v>7</v>
      </c>
      <c r="P59">
        <v>0.4</v>
      </c>
      <c r="Q59">
        <v>0.2</v>
      </c>
    </row>
    <row r="60" spans="1:17" x14ac:dyDescent="0.25">
      <c r="B60" s="2">
        <v>2</v>
      </c>
      <c r="C60" s="2">
        <v>17</v>
      </c>
      <c r="H60">
        <v>1</v>
      </c>
      <c r="I60" s="2">
        <v>17</v>
      </c>
      <c r="J60">
        <v>0.4</v>
      </c>
      <c r="K60">
        <f t="shared" si="0"/>
        <v>0.42999999999999994</v>
      </c>
      <c r="N60">
        <v>1</v>
      </c>
      <c r="O60" s="2">
        <v>17</v>
      </c>
      <c r="P60">
        <v>0.4</v>
      </c>
      <c r="Q60">
        <v>0.2</v>
      </c>
    </row>
    <row r="61" spans="1:17" x14ac:dyDescent="0.25">
      <c r="A61" t="s">
        <v>3</v>
      </c>
      <c r="B61" s="2">
        <v>2</v>
      </c>
      <c r="C61" s="2">
        <v>65</v>
      </c>
      <c r="H61">
        <v>1</v>
      </c>
      <c r="I61" s="1">
        <v>18</v>
      </c>
      <c r="J61">
        <v>0.4</v>
      </c>
      <c r="K61">
        <f>1-0.35</f>
        <v>0.65</v>
      </c>
      <c r="N61">
        <v>1</v>
      </c>
      <c r="O61" s="1">
        <v>18</v>
      </c>
      <c r="P61">
        <v>0.4</v>
      </c>
      <c r="Q61">
        <v>0.2</v>
      </c>
    </row>
    <row r="62" spans="1:17" x14ac:dyDescent="0.25">
      <c r="A62" t="s">
        <v>12</v>
      </c>
      <c r="B62" s="2">
        <v>2</v>
      </c>
      <c r="C62" s="1">
        <v>11</v>
      </c>
      <c r="G62" t="s">
        <v>34</v>
      </c>
      <c r="H62">
        <v>1</v>
      </c>
      <c r="I62" s="2">
        <v>63</v>
      </c>
      <c r="J62">
        <v>0.4</v>
      </c>
      <c r="K62">
        <f>0.6-0.17</f>
        <v>0.42999999999999994</v>
      </c>
      <c r="M62" t="s">
        <v>34</v>
      </c>
      <c r="N62">
        <v>1</v>
      </c>
      <c r="O62" s="2">
        <v>63</v>
      </c>
      <c r="P62">
        <v>0.4</v>
      </c>
      <c r="Q62">
        <v>0.2</v>
      </c>
    </row>
    <row r="63" spans="1:17" x14ac:dyDescent="0.25">
      <c r="B63" s="2">
        <v>2</v>
      </c>
      <c r="C63">
        <v>297</v>
      </c>
      <c r="G63" t="s">
        <v>35</v>
      </c>
      <c r="H63">
        <v>1</v>
      </c>
      <c r="I63" s="2">
        <v>44</v>
      </c>
      <c r="J63">
        <v>0.4</v>
      </c>
      <c r="K63">
        <f>0.75-0.17</f>
        <v>0.57999999999999996</v>
      </c>
      <c r="M63" t="s">
        <v>35</v>
      </c>
      <c r="N63">
        <v>1</v>
      </c>
      <c r="O63" s="2">
        <v>44</v>
      </c>
      <c r="P63">
        <v>0.4</v>
      </c>
      <c r="Q63">
        <v>0.31</v>
      </c>
    </row>
    <row r="64" spans="1:17" x14ac:dyDescent="0.25">
      <c r="A64" t="s">
        <v>14</v>
      </c>
      <c r="B64" s="2">
        <v>2</v>
      </c>
      <c r="C64">
        <v>20</v>
      </c>
      <c r="H64">
        <v>1</v>
      </c>
      <c r="I64" s="1">
        <v>9</v>
      </c>
      <c r="J64">
        <v>0.4</v>
      </c>
      <c r="K64">
        <f>1-0.35</f>
        <v>0.65</v>
      </c>
      <c r="N64">
        <v>1</v>
      </c>
      <c r="O64" s="1">
        <v>9</v>
      </c>
      <c r="P64">
        <v>0.4</v>
      </c>
      <c r="Q64">
        <v>0.31</v>
      </c>
    </row>
    <row r="65" spans="1:17" x14ac:dyDescent="0.25">
      <c r="B65" s="2">
        <v>2</v>
      </c>
      <c r="C65">
        <v>40</v>
      </c>
      <c r="H65">
        <v>1</v>
      </c>
      <c r="I65" s="2">
        <v>56</v>
      </c>
      <c r="J65">
        <v>0.4</v>
      </c>
      <c r="K65">
        <f>0.75-0.17</f>
        <v>0.57999999999999996</v>
      </c>
      <c r="N65">
        <v>1</v>
      </c>
      <c r="O65" s="2">
        <v>56</v>
      </c>
      <c r="P65">
        <v>0.4</v>
      </c>
      <c r="Q65">
        <v>0.31</v>
      </c>
    </row>
    <row r="66" spans="1:17" x14ac:dyDescent="0.25">
      <c r="B66" s="2">
        <v>2</v>
      </c>
      <c r="C66">
        <v>56</v>
      </c>
      <c r="H66">
        <v>1</v>
      </c>
      <c r="I66" s="2">
        <v>40</v>
      </c>
      <c r="J66">
        <v>0.4</v>
      </c>
      <c r="K66">
        <f t="shared" ref="K66:K67" si="1">0.6-0.17</f>
        <v>0.42999999999999994</v>
      </c>
      <c r="N66">
        <v>1</v>
      </c>
      <c r="O66" s="2">
        <v>40</v>
      </c>
      <c r="P66">
        <v>0.4</v>
      </c>
      <c r="Q66">
        <v>0.2</v>
      </c>
    </row>
    <row r="67" spans="1:17" x14ac:dyDescent="0.25">
      <c r="B67" s="2">
        <v>2</v>
      </c>
      <c r="C67">
        <v>36</v>
      </c>
      <c r="H67">
        <v>1</v>
      </c>
      <c r="I67" s="2">
        <v>20</v>
      </c>
      <c r="J67">
        <v>0.4</v>
      </c>
      <c r="K67">
        <f t="shared" si="1"/>
        <v>0.42999999999999994</v>
      </c>
      <c r="N67">
        <v>1</v>
      </c>
      <c r="O67" s="2">
        <v>20</v>
      </c>
      <c r="P67">
        <v>0.4</v>
      </c>
      <c r="Q67">
        <v>0.2</v>
      </c>
    </row>
    <row r="68" spans="1:17" x14ac:dyDescent="0.25">
      <c r="B68" s="2">
        <v>2</v>
      </c>
      <c r="C68" s="1">
        <v>15</v>
      </c>
      <c r="H68">
        <v>1</v>
      </c>
      <c r="I68" s="1">
        <v>33</v>
      </c>
      <c r="J68">
        <v>0.4</v>
      </c>
      <c r="K68">
        <f t="shared" ref="K68:K70" si="2">1-0.35</f>
        <v>0.65</v>
      </c>
      <c r="N68">
        <v>1</v>
      </c>
      <c r="O68" s="1">
        <v>33</v>
      </c>
      <c r="P68">
        <v>0.4</v>
      </c>
      <c r="Q68">
        <v>0.2</v>
      </c>
    </row>
    <row r="69" spans="1:17" x14ac:dyDescent="0.25">
      <c r="B69" s="2">
        <v>2</v>
      </c>
      <c r="C69" s="1">
        <v>18</v>
      </c>
      <c r="H69">
        <v>1</v>
      </c>
      <c r="I69" s="1">
        <v>17</v>
      </c>
      <c r="J69">
        <v>0.4</v>
      </c>
      <c r="K69">
        <f t="shared" si="2"/>
        <v>0.65</v>
      </c>
      <c r="N69">
        <v>1</v>
      </c>
      <c r="O69" s="1">
        <v>17</v>
      </c>
      <c r="P69">
        <v>0.4</v>
      </c>
      <c r="Q69">
        <v>0.2</v>
      </c>
    </row>
    <row r="70" spans="1:17" x14ac:dyDescent="0.25">
      <c r="B70" s="2">
        <v>2</v>
      </c>
      <c r="C70" s="1">
        <v>17</v>
      </c>
      <c r="H70">
        <v>1</v>
      </c>
      <c r="I70" s="1">
        <v>8</v>
      </c>
      <c r="J70">
        <v>0.4</v>
      </c>
      <c r="K70">
        <f t="shared" si="2"/>
        <v>0.65</v>
      </c>
      <c r="N70">
        <v>1</v>
      </c>
      <c r="O70" s="1">
        <v>8</v>
      </c>
      <c r="P70">
        <v>0.4</v>
      </c>
      <c r="Q70">
        <v>0.2</v>
      </c>
    </row>
    <row r="71" spans="1:17" x14ac:dyDescent="0.25">
      <c r="B71" s="2">
        <v>2</v>
      </c>
      <c r="C71" s="1">
        <v>8</v>
      </c>
      <c r="G71" t="s">
        <v>36</v>
      </c>
      <c r="H71">
        <v>1</v>
      </c>
      <c r="I71" s="2">
        <v>123</v>
      </c>
      <c r="J71">
        <v>0.4</v>
      </c>
      <c r="K71">
        <f>0.6-0.17</f>
        <v>0.42999999999999994</v>
      </c>
      <c r="M71" t="s">
        <v>36</v>
      </c>
      <c r="N71">
        <v>1</v>
      </c>
      <c r="O71" s="2">
        <v>123</v>
      </c>
      <c r="P71">
        <v>0.4</v>
      </c>
      <c r="Q71">
        <v>0.2</v>
      </c>
    </row>
    <row r="72" spans="1:17" x14ac:dyDescent="0.25">
      <c r="A72" t="s">
        <v>15</v>
      </c>
      <c r="B72" s="2">
        <v>2</v>
      </c>
      <c r="C72" s="2">
        <v>124</v>
      </c>
      <c r="H72">
        <v>1</v>
      </c>
      <c r="I72" s="2">
        <v>236</v>
      </c>
      <c r="J72">
        <v>0.4</v>
      </c>
      <c r="K72">
        <f>0.75-0.17</f>
        <v>0.57999999999999996</v>
      </c>
      <c r="N72">
        <v>1</v>
      </c>
      <c r="O72" s="2">
        <v>236</v>
      </c>
      <c r="P72">
        <v>0.4</v>
      </c>
      <c r="Q72">
        <v>0.31</v>
      </c>
    </row>
    <row r="73" spans="1:17" x14ac:dyDescent="0.25">
      <c r="B73" s="2">
        <v>2</v>
      </c>
      <c r="C73" s="1">
        <v>8</v>
      </c>
      <c r="G73" t="s">
        <v>37</v>
      </c>
      <c r="H73">
        <v>1</v>
      </c>
      <c r="I73" s="2">
        <v>166</v>
      </c>
      <c r="J73">
        <v>0.4</v>
      </c>
      <c r="K73">
        <f>0.75-0.17</f>
        <v>0.57999999999999996</v>
      </c>
      <c r="M73" t="s">
        <v>37</v>
      </c>
      <c r="N73">
        <v>1</v>
      </c>
      <c r="O73" s="2">
        <v>166</v>
      </c>
      <c r="P73">
        <v>0.4</v>
      </c>
      <c r="Q73">
        <v>0.31</v>
      </c>
    </row>
    <row r="74" spans="1:17" x14ac:dyDescent="0.25">
      <c r="B74" s="2">
        <v>2</v>
      </c>
      <c r="C74" s="2">
        <v>236</v>
      </c>
      <c r="H74">
        <v>1</v>
      </c>
      <c r="I74" s="2">
        <v>151</v>
      </c>
      <c r="J74">
        <v>0.4</v>
      </c>
      <c r="K74">
        <f>0.6-0.17</f>
        <v>0.42999999999999994</v>
      </c>
      <c r="N74">
        <v>1</v>
      </c>
      <c r="O74" s="2">
        <v>151</v>
      </c>
      <c r="P74">
        <v>0.4</v>
      </c>
      <c r="Q74">
        <v>0.2</v>
      </c>
    </row>
    <row r="75" spans="1:17" x14ac:dyDescent="0.25">
      <c r="A75" t="s">
        <v>16</v>
      </c>
      <c r="B75" s="2">
        <v>2</v>
      </c>
      <c r="C75" s="1">
        <v>11</v>
      </c>
      <c r="H75">
        <v>1</v>
      </c>
      <c r="I75" s="1">
        <v>11</v>
      </c>
      <c r="J75">
        <v>0.4</v>
      </c>
      <c r="K75">
        <f>1-0.35</f>
        <v>0.65</v>
      </c>
      <c r="N75">
        <v>1</v>
      </c>
      <c r="O75" s="1">
        <v>11</v>
      </c>
      <c r="P75">
        <v>0.4</v>
      </c>
      <c r="Q75">
        <v>0.2</v>
      </c>
    </row>
    <row r="76" spans="1:17" x14ac:dyDescent="0.25">
      <c r="B76" s="2">
        <v>2</v>
      </c>
      <c r="C76" s="2">
        <v>155</v>
      </c>
      <c r="H76">
        <v>1</v>
      </c>
      <c r="I76" s="2">
        <v>15</v>
      </c>
      <c r="J76">
        <v>0.4</v>
      </c>
      <c r="K76">
        <f t="shared" ref="K76:K77" si="3">0.6-0.17</f>
        <v>0.42999999999999994</v>
      </c>
      <c r="N76">
        <v>1</v>
      </c>
      <c r="O76" s="2">
        <v>15</v>
      </c>
      <c r="P76">
        <v>0.4</v>
      </c>
      <c r="Q76">
        <v>0.2</v>
      </c>
    </row>
    <row r="77" spans="1:17" x14ac:dyDescent="0.25">
      <c r="B77" s="2">
        <v>2</v>
      </c>
      <c r="C77" s="2">
        <v>166</v>
      </c>
      <c r="H77">
        <v>1</v>
      </c>
      <c r="I77" s="2">
        <v>640</v>
      </c>
      <c r="J77">
        <v>0.4</v>
      </c>
      <c r="K77">
        <f t="shared" si="3"/>
        <v>0.42999999999999994</v>
      </c>
      <c r="N77">
        <v>1</v>
      </c>
      <c r="O77" s="2">
        <v>640</v>
      </c>
      <c r="P77">
        <v>0.4</v>
      </c>
      <c r="Q77">
        <v>0.2</v>
      </c>
    </row>
    <row r="78" spans="1:17" x14ac:dyDescent="0.25">
      <c r="A78" t="s">
        <v>23</v>
      </c>
      <c r="B78" s="2">
        <v>2</v>
      </c>
      <c r="C78" s="2">
        <v>295</v>
      </c>
      <c r="H78">
        <v>1</v>
      </c>
      <c r="I78" s="1">
        <v>9</v>
      </c>
      <c r="J78">
        <v>0.4</v>
      </c>
      <c r="K78">
        <f t="shared" ref="K78:K79" si="4">1-0.35</f>
        <v>0.65</v>
      </c>
      <c r="N78">
        <v>1</v>
      </c>
      <c r="O78" s="1">
        <v>9</v>
      </c>
      <c r="P78">
        <v>0.4</v>
      </c>
      <c r="Q78">
        <v>0.2</v>
      </c>
    </row>
    <row r="79" spans="1:17" x14ac:dyDescent="0.25">
      <c r="A79" t="s">
        <v>27</v>
      </c>
      <c r="B79" s="2">
        <v>1</v>
      </c>
      <c r="C79" s="2">
        <v>44</v>
      </c>
      <c r="H79">
        <v>1</v>
      </c>
      <c r="I79" s="1">
        <v>11</v>
      </c>
      <c r="J79">
        <v>0.4</v>
      </c>
      <c r="K79">
        <f t="shared" si="4"/>
        <v>0.65</v>
      </c>
      <c r="N79">
        <v>1</v>
      </c>
      <c r="O79" s="1">
        <v>11</v>
      </c>
      <c r="P79">
        <v>0.4</v>
      </c>
      <c r="Q79">
        <v>0.2</v>
      </c>
    </row>
    <row r="80" spans="1:17" x14ac:dyDescent="0.25">
      <c r="B80" s="2">
        <v>1</v>
      </c>
      <c r="C80" s="2">
        <v>56</v>
      </c>
      <c r="H80">
        <v>1</v>
      </c>
      <c r="I80" s="2">
        <v>41</v>
      </c>
      <c r="J80">
        <v>0.4</v>
      </c>
      <c r="K80">
        <f t="shared" ref="K80:K85" si="5">0.6-0.17</f>
        <v>0.42999999999999994</v>
      </c>
      <c r="N80">
        <v>1</v>
      </c>
      <c r="O80" s="2">
        <v>41</v>
      </c>
      <c r="P80">
        <v>0.4</v>
      </c>
      <c r="Q80">
        <v>0.2</v>
      </c>
    </row>
    <row r="81" spans="1:17" x14ac:dyDescent="0.25">
      <c r="B81" s="1">
        <v>1</v>
      </c>
      <c r="C81" s="1">
        <v>9</v>
      </c>
      <c r="H81">
        <v>1</v>
      </c>
      <c r="I81" s="2">
        <v>54</v>
      </c>
      <c r="J81">
        <v>0.4</v>
      </c>
      <c r="K81">
        <f t="shared" si="5"/>
        <v>0.42999999999999994</v>
      </c>
      <c r="N81">
        <v>1</v>
      </c>
      <c r="O81" s="2">
        <v>54</v>
      </c>
      <c r="P81">
        <v>0.4</v>
      </c>
      <c r="Q81">
        <v>0.2</v>
      </c>
    </row>
    <row r="82" spans="1:17" x14ac:dyDescent="0.25">
      <c r="A82" t="s">
        <v>15</v>
      </c>
      <c r="B82" s="2">
        <v>1</v>
      </c>
      <c r="C82" s="2">
        <v>235</v>
      </c>
      <c r="H82">
        <v>1</v>
      </c>
      <c r="I82" s="2">
        <v>31</v>
      </c>
      <c r="J82">
        <v>0.4</v>
      </c>
      <c r="K82">
        <f t="shared" si="5"/>
        <v>0.42999999999999994</v>
      </c>
      <c r="N82">
        <v>1</v>
      </c>
      <c r="O82" s="2">
        <v>31</v>
      </c>
      <c r="P82">
        <v>0.4</v>
      </c>
      <c r="Q82">
        <v>0.2</v>
      </c>
    </row>
    <row r="83" spans="1:17" x14ac:dyDescent="0.25">
      <c r="A83" t="s">
        <v>16</v>
      </c>
      <c r="B83" s="2">
        <v>1</v>
      </c>
      <c r="C83" s="2">
        <v>166</v>
      </c>
      <c r="H83">
        <v>1</v>
      </c>
      <c r="I83" s="2">
        <v>90</v>
      </c>
      <c r="J83">
        <v>0.4</v>
      </c>
      <c r="K83">
        <f t="shared" si="5"/>
        <v>0.42999999999999994</v>
      </c>
      <c r="N83">
        <v>1</v>
      </c>
      <c r="O83" s="2">
        <v>90</v>
      </c>
      <c r="P83">
        <v>0.4</v>
      </c>
      <c r="Q83">
        <v>0.2</v>
      </c>
    </row>
    <row r="84" spans="1:17" x14ac:dyDescent="0.25">
      <c r="B84" s="2">
        <v>2</v>
      </c>
      <c r="C84" s="2">
        <v>645</v>
      </c>
      <c r="H84">
        <v>1</v>
      </c>
      <c r="I84" s="2">
        <v>33</v>
      </c>
      <c r="J84">
        <v>0.4</v>
      </c>
      <c r="K84">
        <f t="shared" si="5"/>
        <v>0.42999999999999994</v>
      </c>
      <c r="N84">
        <v>1</v>
      </c>
      <c r="O84" s="2">
        <v>33</v>
      </c>
      <c r="P84">
        <v>0.4</v>
      </c>
      <c r="Q84">
        <v>0.2</v>
      </c>
    </row>
    <row r="85" spans="1:17" x14ac:dyDescent="0.25">
      <c r="B85" s="1">
        <v>2</v>
      </c>
      <c r="C85" s="1">
        <v>11</v>
      </c>
      <c r="H85">
        <v>1</v>
      </c>
      <c r="I85" s="2">
        <v>34</v>
      </c>
      <c r="J85">
        <v>0.4</v>
      </c>
      <c r="K85">
        <f t="shared" si="5"/>
        <v>0.42999999999999994</v>
      </c>
      <c r="N85">
        <v>1</v>
      </c>
      <c r="O85" s="2">
        <v>34</v>
      </c>
      <c r="P85">
        <v>0.4</v>
      </c>
      <c r="Q85">
        <v>0.2</v>
      </c>
    </row>
    <row r="86" spans="1:17" x14ac:dyDescent="0.25">
      <c r="B86" s="1">
        <v>2</v>
      </c>
      <c r="C86" s="1">
        <v>10</v>
      </c>
      <c r="H86">
        <v>1</v>
      </c>
      <c r="I86" s="1">
        <v>12</v>
      </c>
      <c r="J86">
        <v>0.4</v>
      </c>
      <c r="K86">
        <f t="shared" ref="K86:K90" si="6">1-0.35</f>
        <v>0.65</v>
      </c>
      <c r="N86">
        <v>1</v>
      </c>
      <c r="O86" s="1">
        <v>12</v>
      </c>
      <c r="P86">
        <v>0.4</v>
      </c>
      <c r="Q86">
        <v>0.2</v>
      </c>
    </row>
    <row r="87" spans="1:17" x14ac:dyDescent="0.25">
      <c r="B87" s="2">
        <v>2</v>
      </c>
      <c r="C87" s="2">
        <v>56</v>
      </c>
      <c r="H87">
        <v>1</v>
      </c>
      <c r="I87" s="1">
        <v>8</v>
      </c>
      <c r="J87">
        <v>0.4</v>
      </c>
      <c r="K87">
        <f t="shared" si="6"/>
        <v>0.65</v>
      </c>
      <c r="N87">
        <v>1</v>
      </c>
      <c r="O87" s="1">
        <v>8</v>
      </c>
      <c r="P87">
        <v>0.4</v>
      </c>
      <c r="Q87">
        <v>0.2</v>
      </c>
    </row>
    <row r="88" spans="1:17" x14ac:dyDescent="0.25">
      <c r="B88" s="2">
        <v>2</v>
      </c>
      <c r="C88" s="1">
        <v>17</v>
      </c>
      <c r="H88">
        <v>1</v>
      </c>
      <c r="I88" s="1">
        <v>12</v>
      </c>
      <c r="J88">
        <v>0.4</v>
      </c>
      <c r="K88">
        <f t="shared" si="6"/>
        <v>0.65</v>
      </c>
      <c r="N88">
        <v>1</v>
      </c>
      <c r="O88" s="1">
        <v>12</v>
      </c>
      <c r="P88">
        <v>0.4</v>
      </c>
      <c r="Q88">
        <v>0.2</v>
      </c>
    </row>
    <row r="89" spans="1:17" x14ac:dyDescent="0.25">
      <c r="B89" s="2">
        <v>2</v>
      </c>
      <c r="C89" s="2">
        <v>54</v>
      </c>
      <c r="H89">
        <v>1</v>
      </c>
      <c r="I89" s="1">
        <v>22</v>
      </c>
      <c r="J89">
        <v>0.4</v>
      </c>
      <c r="K89">
        <f t="shared" si="6"/>
        <v>0.65</v>
      </c>
      <c r="N89">
        <v>1</v>
      </c>
      <c r="O89" s="1">
        <v>22</v>
      </c>
      <c r="P89">
        <v>0.4</v>
      </c>
      <c r="Q89">
        <v>0.2</v>
      </c>
    </row>
    <row r="90" spans="1:17" x14ac:dyDescent="0.25">
      <c r="B90" s="2">
        <v>2</v>
      </c>
      <c r="C90" s="1">
        <v>22</v>
      </c>
      <c r="H90">
        <v>1</v>
      </c>
      <c r="I90" s="1">
        <v>17</v>
      </c>
      <c r="J90">
        <v>0.4</v>
      </c>
      <c r="K90">
        <f t="shared" si="6"/>
        <v>0.65</v>
      </c>
      <c r="N90">
        <v>1</v>
      </c>
      <c r="O90" s="1">
        <v>17</v>
      </c>
      <c r="P90">
        <v>0.4</v>
      </c>
      <c r="Q90">
        <v>0.2</v>
      </c>
    </row>
    <row r="91" spans="1:17" x14ac:dyDescent="0.25">
      <c r="B91" s="2">
        <v>2</v>
      </c>
      <c r="C91" s="2">
        <v>31</v>
      </c>
    </row>
    <row r="92" spans="1:17" x14ac:dyDescent="0.25">
      <c r="B92" s="2">
        <v>2</v>
      </c>
      <c r="C92" s="1">
        <v>11</v>
      </c>
    </row>
    <row r="93" spans="1:17" x14ac:dyDescent="0.25">
      <c r="B93" s="2">
        <v>2</v>
      </c>
      <c r="C93" s="2">
        <v>89</v>
      </c>
      <c r="G93" s="3" t="s">
        <v>39</v>
      </c>
      <c r="H93" t="s">
        <v>31</v>
      </c>
    </row>
    <row r="94" spans="1:17" x14ac:dyDescent="0.25">
      <c r="B94" s="2">
        <v>2</v>
      </c>
      <c r="C94" s="1">
        <v>8</v>
      </c>
      <c r="G94" t="s">
        <v>29</v>
      </c>
      <c r="H94" s="1"/>
      <c r="I94" s="1"/>
    </row>
    <row r="95" spans="1:17" x14ac:dyDescent="0.25">
      <c r="B95" s="2">
        <v>2</v>
      </c>
      <c r="C95" s="2">
        <v>33</v>
      </c>
      <c r="G95" t="s">
        <v>30</v>
      </c>
      <c r="H95">
        <v>1</v>
      </c>
      <c r="I95">
        <v>945</v>
      </c>
      <c r="J95">
        <v>0.4</v>
      </c>
      <c r="K95">
        <f>K52-Q52</f>
        <v>0.22999999999999993</v>
      </c>
    </row>
    <row r="96" spans="1:17" x14ac:dyDescent="0.25">
      <c r="B96" s="2">
        <v>2</v>
      </c>
      <c r="C96" s="1">
        <v>12</v>
      </c>
      <c r="G96" t="s">
        <v>32</v>
      </c>
      <c r="H96">
        <v>1</v>
      </c>
      <c r="I96" s="2">
        <v>295</v>
      </c>
      <c r="J96">
        <v>0.4</v>
      </c>
      <c r="K96">
        <f t="shared" ref="K96:K133" si="7">K53-Q53</f>
        <v>0.22999999999999993</v>
      </c>
    </row>
    <row r="97" spans="1:11" x14ac:dyDescent="0.25">
      <c r="B97" s="2">
        <v>2</v>
      </c>
      <c r="C97" s="2">
        <v>35</v>
      </c>
      <c r="G97" t="s">
        <v>33</v>
      </c>
      <c r="H97">
        <v>1</v>
      </c>
      <c r="I97" s="1">
        <v>10</v>
      </c>
      <c r="J97">
        <v>0.4</v>
      </c>
      <c r="K97">
        <f t="shared" si="7"/>
        <v>0.34</v>
      </c>
    </row>
    <row r="98" spans="1:11" x14ac:dyDescent="0.25">
      <c r="G98" t="s">
        <v>26</v>
      </c>
      <c r="H98">
        <v>1</v>
      </c>
      <c r="I98" s="1">
        <v>13</v>
      </c>
      <c r="J98">
        <v>0.4</v>
      </c>
      <c r="K98">
        <f t="shared" si="7"/>
        <v>0.45</v>
      </c>
    </row>
    <row r="99" spans="1:11" x14ac:dyDescent="0.25">
      <c r="H99">
        <v>1</v>
      </c>
      <c r="I99" s="1">
        <v>16</v>
      </c>
      <c r="J99">
        <v>0.4</v>
      </c>
      <c r="K99">
        <f t="shared" si="7"/>
        <v>0.45</v>
      </c>
    </row>
    <row r="100" spans="1:11" x14ac:dyDescent="0.25">
      <c r="A100" s="3" t="s">
        <v>40</v>
      </c>
      <c r="H100">
        <v>1</v>
      </c>
      <c r="I100" s="1">
        <v>35</v>
      </c>
      <c r="J100">
        <v>0.4</v>
      </c>
      <c r="K100">
        <f t="shared" si="7"/>
        <v>0.45</v>
      </c>
    </row>
    <row r="101" spans="1:11" x14ac:dyDescent="0.25">
      <c r="A101" t="s">
        <v>41</v>
      </c>
      <c r="B101">
        <v>1</v>
      </c>
      <c r="H101">
        <v>1</v>
      </c>
      <c r="I101" s="2">
        <v>14</v>
      </c>
      <c r="J101">
        <v>0.4</v>
      </c>
      <c r="K101">
        <f t="shared" si="7"/>
        <v>0.22999999999999993</v>
      </c>
    </row>
    <row r="102" spans="1:11" x14ac:dyDescent="0.25">
      <c r="A102" t="s">
        <v>26</v>
      </c>
      <c r="B102">
        <v>2</v>
      </c>
      <c r="H102">
        <v>1</v>
      </c>
      <c r="I102" s="2">
        <v>7</v>
      </c>
      <c r="J102">
        <v>0.4</v>
      </c>
      <c r="K102">
        <f t="shared" si="7"/>
        <v>0.22999999999999993</v>
      </c>
    </row>
    <row r="103" spans="1:11" x14ac:dyDescent="0.25">
      <c r="A103" t="s">
        <v>30</v>
      </c>
      <c r="B103">
        <v>1</v>
      </c>
      <c r="H103">
        <v>1</v>
      </c>
      <c r="I103" s="2">
        <v>17</v>
      </c>
      <c r="J103">
        <v>0.4</v>
      </c>
      <c r="K103">
        <f t="shared" si="7"/>
        <v>0.22999999999999993</v>
      </c>
    </row>
    <row r="104" spans="1:11" x14ac:dyDescent="0.25">
      <c r="A104" t="s">
        <v>42</v>
      </c>
      <c r="B104">
        <v>7</v>
      </c>
      <c r="H104">
        <v>1</v>
      </c>
      <c r="I104" s="1">
        <v>18</v>
      </c>
      <c r="J104">
        <v>0.4</v>
      </c>
      <c r="K104">
        <f t="shared" si="7"/>
        <v>0.45</v>
      </c>
    </row>
    <row r="105" spans="1:11" x14ac:dyDescent="0.25">
      <c r="A105" t="s">
        <v>35</v>
      </c>
      <c r="B105">
        <v>5</v>
      </c>
      <c r="G105" t="s">
        <v>34</v>
      </c>
      <c r="H105">
        <v>1</v>
      </c>
      <c r="I105" s="2">
        <v>63</v>
      </c>
      <c r="J105">
        <v>0.4</v>
      </c>
      <c r="K105">
        <f t="shared" si="7"/>
        <v>0.22999999999999993</v>
      </c>
    </row>
    <row r="106" spans="1:11" x14ac:dyDescent="0.25">
      <c r="A106" t="s">
        <v>37</v>
      </c>
      <c r="B106">
        <v>2</v>
      </c>
      <c r="G106" t="s">
        <v>35</v>
      </c>
      <c r="H106">
        <v>1</v>
      </c>
      <c r="I106" s="2">
        <v>44</v>
      </c>
      <c r="J106">
        <v>0.4</v>
      </c>
      <c r="K106">
        <f t="shared" si="7"/>
        <v>0.26999999999999996</v>
      </c>
    </row>
    <row r="107" spans="1:11" x14ac:dyDescent="0.25">
      <c r="A107" t="s">
        <v>43</v>
      </c>
      <c r="B107">
        <v>6</v>
      </c>
      <c r="H107">
        <v>1</v>
      </c>
      <c r="I107" s="1">
        <v>9</v>
      </c>
      <c r="J107">
        <v>0.4</v>
      </c>
      <c r="K107">
        <f t="shared" si="7"/>
        <v>0.34</v>
      </c>
    </row>
    <row r="108" spans="1:11" x14ac:dyDescent="0.25">
      <c r="A108" t="s">
        <v>44</v>
      </c>
      <c r="B108">
        <v>2</v>
      </c>
      <c r="H108">
        <v>1</v>
      </c>
      <c r="I108" s="2">
        <v>56</v>
      </c>
      <c r="J108">
        <v>0.4</v>
      </c>
      <c r="K108">
        <f t="shared" si="7"/>
        <v>0.26999999999999996</v>
      </c>
    </row>
    <row r="109" spans="1:11" x14ac:dyDescent="0.25">
      <c r="H109">
        <v>1</v>
      </c>
      <c r="I109" s="2">
        <v>40</v>
      </c>
      <c r="J109">
        <v>0.4</v>
      </c>
      <c r="K109">
        <f t="shared" si="7"/>
        <v>0.22999999999999993</v>
      </c>
    </row>
    <row r="110" spans="1:11" x14ac:dyDescent="0.25">
      <c r="H110">
        <v>1</v>
      </c>
      <c r="I110" s="2">
        <v>20</v>
      </c>
      <c r="J110">
        <v>0.4</v>
      </c>
      <c r="K110">
        <f t="shared" si="7"/>
        <v>0.22999999999999993</v>
      </c>
    </row>
    <row r="111" spans="1:11" x14ac:dyDescent="0.25">
      <c r="H111">
        <v>1</v>
      </c>
      <c r="I111" s="1">
        <v>33</v>
      </c>
      <c r="J111">
        <v>0.4</v>
      </c>
      <c r="K111">
        <f t="shared" si="7"/>
        <v>0.45</v>
      </c>
    </row>
    <row r="112" spans="1:11" x14ac:dyDescent="0.25">
      <c r="H112">
        <v>1</v>
      </c>
      <c r="I112" s="1">
        <v>17</v>
      </c>
      <c r="J112">
        <v>0.4</v>
      </c>
      <c r="K112">
        <f t="shared" si="7"/>
        <v>0.45</v>
      </c>
    </row>
    <row r="113" spans="7:11" x14ac:dyDescent="0.25">
      <c r="H113">
        <v>1</v>
      </c>
      <c r="I113" s="1">
        <v>8</v>
      </c>
      <c r="J113">
        <v>0.4</v>
      </c>
      <c r="K113">
        <f t="shared" si="7"/>
        <v>0.45</v>
      </c>
    </row>
    <row r="114" spans="7:11" x14ac:dyDescent="0.25">
      <c r="G114" t="s">
        <v>36</v>
      </c>
      <c r="H114">
        <v>1</v>
      </c>
      <c r="I114" s="2">
        <v>123</v>
      </c>
      <c r="J114">
        <v>0.4</v>
      </c>
      <c r="K114">
        <f t="shared" si="7"/>
        <v>0.22999999999999993</v>
      </c>
    </row>
    <row r="115" spans="7:11" x14ac:dyDescent="0.25">
      <c r="H115">
        <v>1</v>
      </c>
      <c r="I115" s="2">
        <v>236</v>
      </c>
      <c r="J115">
        <v>0.4</v>
      </c>
      <c r="K115">
        <f t="shared" si="7"/>
        <v>0.26999999999999996</v>
      </c>
    </row>
    <row r="116" spans="7:11" x14ac:dyDescent="0.25">
      <c r="G116" t="s">
        <v>37</v>
      </c>
      <c r="H116">
        <v>1</v>
      </c>
      <c r="I116" s="2">
        <v>166</v>
      </c>
      <c r="J116">
        <v>0.4</v>
      </c>
      <c r="K116">
        <f t="shared" si="7"/>
        <v>0.26999999999999996</v>
      </c>
    </row>
    <row r="117" spans="7:11" x14ac:dyDescent="0.25">
      <c r="H117">
        <v>1</v>
      </c>
      <c r="I117" s="2">
        <v>151</v>
      </c>
      <c r="J117">
        <v>0.4</v>
      </c>
      <c r="K117">
        <f t="shared" si="7"/>
        <v>0.22999999999999993</v>
      </c>
    </row>
    <row r="118" spans="7:11" x14ac:dyDescent="0.25">
      <c r="H118">
        <v>1</v>
      </c>
      <c r="I118" s="1">
        <v>11</v>
      </c>
      <c r="J118">
        <v>0.4</v>
      </c>
      <c r="K118">
        <f t="shared" si="7"/>
        <v>0.45</v>
      </c>
    </row>
    <row r="119" spans="7:11" x14ac:dyDescent="0.25">
      <c r="H119">
        <v>1</v>
      </c>
      <c r="I119" s="2">
        <v>15</v>
      </c>
      <c r="J119">
        <v>0.4</v>
      </c>
      <c r="K119">
        <f t="shared" si="7"/>
        <v>0.22999999999999993</v>
      </c>
    </row>
    <row r="120" spans="7:11" x14ac:dyDescent="0.25">
      <c r="H120">
        <v>1</v>
      </c>
      <c r="I120" s="2">
        <v>640</v>
      </c>
      <c r="J120">
        <v>0.4</v>
      </c>
      <c r="K120">
        <f t="shared" si="7"/>
        <v>0.22999999999999993</v>
      </c>
    </row>
    <row r="121" spans="7:11" x14ac:dyDescent="0.25">
      <c r="H121">
        <v>1</v>
      </c>
      <c r="I121" s="1">
        <v>9</v>
      </c>
      <c r="J121">
        <v>0.4</v>
      </c>
      <c r="K121">
        <f t="shared" si="7"/>
        <v>0.45</v>
      </c>
    </row>
    <row r="122" spans="7:11" x14ac:dyDescent="0.25">
      <c r="H122">
        <v>1</v>
      </c>
      <c r="I122" s="1">
        <v>11</v>
      </c>
      <c r="J122">
        <v>0.4</v>
      </c>
      <c r="K122">
        <f t="shared" si="7"/>
        <v>0.45</v>
      </c>
    </row>
    <row r="123" spans="7:11" x14ac:dyDescent="0.25">
      <c r="H123">
        <v>1</v>
      </c>
      <c r="I123" s="2">
        <v>41</v>
      </c>
      <c r="J123">
        <v>0.4</v>
      </c>
      <c r="K123">
        <f t="shared" si="7"/>
        <v>0.22999999999999993</v>
      </c>
    </row>
    <row r="124" spans="7:11" x14ac:dyDescent="0.25">
      <c r="H124">
        <v>1</v>
      </c>
      <c r="I124" s="2">
        <v>54</v>
      </c>
      <c r="J124">
        <v>0.4</v>
      </c>
      <c r="K124">
        <f t="shared" si="7"/>
        <v>0.22999999999999993</v>
      </c>
    </row>
    <row r="125" spans="7:11" x14ac:dyDescent="0.25">
      <c r="H125">
        <v>1</v>
      </c>
      <c r="I125" s="2">
        <v>31</v>
      </c>
      <c r="J125">
        <v>0.4</v>
      </c>
      <c r="K125">
        <f t="shared" si="7"/>
        <v>0.22999999999999993</v>
      </c>
    </row>
    <row r="126" spans="7:11" x14ac:dyDescent="0.25">
      <c r="H126">
        <v>1</v>
      </c>
      <c r="I126" s="2">
        <v>90</v>
      </c>
      <c r="J126">
        <v>0.4</v>
      </c>
      <c r="K126">
        <f t="shared" si="7"/>
        <v>0.22999999999999993</v>
      </c>
    </row>
    <row r="127" spans="7:11" x14ac:dyDescent="0.25">
      <c r="H127">
        <v>1</v>
      </c>
      <c r="I127" s="2">
        <v>33</v>
      </c>
      <c r="J127">
        <v>0.4</v>
      </c>
      <c r="K127">
        <f t="shared" si="7"/>
        <v>0.22999999999999993</v>
      </c>
    </row>
    <row r="128" spans="7:11" x14ac:dyDescent="0.25">
      <c r="H128">
        <v>1</v>
      </c>
      <c r="I128" s="2">
        <v>34</v>
      </c>
      <c r="J128">
        <v>0.4</v>
      </c>
      <c r="K128">
        <f t="shared" si="7"/>
        <v>0.22999999999999993</v>
      </c>
    </row>
    <row r="129" spans="8:11" x14ac:dyDescent="0.25">
      <c r="H129">
        <v>1</v>
      </c>
      <c r="I129" s="1">
        <v>12</v>
      </c>
      <c r="J129">
        <v>0.4</v>
      </c>
      <c r="K129">
        <f t="shared" si="7"/>
        <v>0.45</v>
      </c>
    </row>
    <row r="130" spans="8:11" x14ac:dyDescent="0.25">
      <c r="H130">
        <v>1</v>
      </c>
      <c r="I130" s="1">
        <v>8</v>
      </c>
      <c r="J130">
        <v>0.4</v>
      </c>
      <c r="K130">
        <f t="shared" si="7"/>
        <v>0.45</v>
      </c>
    </row>
    <row r="131" spans="8:11" x14ac:dyDescent="0.25">
      <c r="H131">
        <v>1</v>
      </c>
      <c r="I131" s="1">
        <v>12</v>
      </c>
      <c r="J131">
        <v>0.4</v>
      </c>
      <c r="K131">
        <f t="shared" si="7"/>
        <v>0.45</v>
      </c>
    </row>
    <row r="132" spans="8:11" x14ac:dyDescent="0.25">
      <c r="H132">
        <v>1</v>
      </c>
      <c r="I132" s="1">
        <v>22</v>
      </c>
      <c r="J132">
        <v>0.4</v>
      </c>
      <c r="K132">
        <f t="shared" si="7"/>
        <v>0.45</v>
      </c>
    </row>
    <row r="133" spans="8:11" x14ac:dyDescent="0.25">
      <c r="H133">
        <v>1</v>
      </c>
      <c r="I133" s="1">
        <v>17</v>
      </c>
      <c r="J133">
        <v>0.4</v>
      </c>
      <c r="K133">
        <f t="shared" si="7"/>
        <v>0.45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C23A-26B0-436E-BC22-307500B5D58B}">
  <dimension ref="A1:A7"/>
  <sheetViews>
    <sheetView tabSelected="1" workbookViewId="0"/>
  </sheetViews>
  <sheetFormatPr baseColWidth="10" defaultRowHeight="15" x14ac:dyDescent="0.25"/>
  <cols>
    <col min="1" max="1" width="92.7109375" customWidth="1"/>
  </cols>
  <sheetData>
    <row r="1" spans="1:1" ht="20.100000000000001" customHeight="1" x14ac:dyDescent="0.35">
      <c r="A1" s="5" t="s">
        <v>45</v>
      </c>
    </row>
    <row r="2" spans="1:1" ht="20.100000000000001" customHeight="1" x14ac:dyDescent="0.3">
      <c r="A2" s="6" t="s">
        <v>46</v>
      </c>
    </row>
    <row r="3" spans="1:1" ht="20.100000000000001" customHeight="1" x14ac:dyDescent="0.3">
      <c r="A3" s="6" t="s">
        <v>47</v>
      </c>
    </row>
    <row r="4" spans="1:1" ht="20.100000000000001" customHeight="1" x14ac:dyDescent="0.3">
      <c r="A4" s="6" t="s">
        <v>48</v>
      </c>
    </row>
    <row r="5" spans="1:1" ht="20.100000000000001" customHeight="1" x14ac:dyDescent="0.3">
      <c r="A5" s="6" t="s">
        <v>49</v>
      </c>
    </row>
    <row r="6" spans="1:1" ht="20.100000000000001" customHeight="1" x14ac:dyDescent="0.3">
      <c r="A6" s="6" t="s">
        <v>50</v>
      </c>
    </row>
    <row r="7" spans="1:1" ht="20.100000000000001" customHeight="1" x14ac:dyDescent="0.3">
      <c r="A7" s="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Hervás Salado</dc:creator>
  <cp:lastModifiedBy>GARPUL</cp:lastModifiedBy>
  <dcterms:created xsi:type="dcterms:W3CDTF">2026-04-06T11:51:15Z</dcterms:created>
  <dcterms:modified xsi:type="dcterms:W3CDTF">2026-04-15T13:13:41Z</dcterms:modified>
</cp:coreProperties>
</file>