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cuments\Claude\Projects\MEJORA CARRETERA GUADALMAR\PROYECTO 535\535.2\535.2.2 Mejora Carretera Guadalmar\POU 2026\DOCS\Documentos de Trabajo\14.- Control de Calidad\"/>
    </mc:Choice>
  </mc:AlternateContent>
  <xr:revisionPtr revIDLastSave="0" documentId="13_ncr:1_{39D27688-709F-4DC6-8594-9043F7668792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CRTA. GUADALMAR" sheetId="1" r:id="rId1"/>
  </sheets>
  <definedNames>
    <definedName name="_Hlk101341843" localSheetId="0">'CRTA. GUADALMAR'!$C$6</definedName>
    <definedName name="_Hlk101341994" localSheetId="0">'CRTA. GUADALMAR'!#REF!</definedName>
    <definedName name="_Hlk101342322" localSheetId="0">'CRTA. GUADALMAR'!$C$47</definedName>
    <definedName name="_Hlk101342404" localSheetId="0">'CRTA. GUADALMAR'!$C$70</definedName>
    <definedName name="_Hlk101342661" localSheetId="0">'CRTA. GUADALMAR'!#REF!</definedName>
    <definedName name="_Hlk101342856" localSheetId="0">'CRTA. GUADALMAR'!#REF!</definedName>
    <definedName name="_Hlk101342942" localSheetId="0">'CRTA. GUADALMAR'!$C$133</definedName>
    <definedName name="_Hlk101343036" localSheetId="0">'CRTA. GUADALMAR'!$C$148</definedName>
    <definedName name="_Hlk101343150" localSheetId="0">'CRTA. GUADALMAR'!$C$164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9" i="1" l="1"/>
  <c r="L189" i="1" s="1"/>
  <c r="J188" i="1"/>
  <c r="L188" i="1" s="1"/>
  <c r="J186" i="1"/>
  <c r="L186" i="1" s="1"/>
  <c r="J185" i="1"/>
  <c r="L185" i="1" s="1"/>
  <c r="J184" i="1"/>
  <c r="L184" i="1" s="1"/>
  <c r="L181" i="1"/>
  <c r="J179" i="1"/>
  <c r="L179" i="1" s="1"/>
  <c r="J178" i="1"/>
  <c r="L178" i="1" s="1"/>
  <c r="J177" i="1"/>
  <c r="L177" i="1" s="1"/>
  <c r="J175" i="1"/>
  <c r="L175" i="1" s="1"/>
  <c r="J174" i="1"/>
  <c r="L174" i="1" s="1"/>
  <c r="J173" i="1"/>
  <c r="L173" i="1" s="1"/>
  <c r="J172" i="1"/>
  <c r="L172" i="1" s="1"/>
  <c r="J171" i="1"/>
  <c r="L171" i="1" s="1"/>
  <c r="J170" i="1"/>
  <c r="L170" i="1" s="1"/>
  <c r="L160" i="1"/>
  <c r="L159" i="1"/>
  <c r="L158" i="1"/>
  <c r="L155" i="1"/>
  <c r="L154" i="1"/>
  <c r="L142" i="1"/>
  <c r="L141" i="1"/>
  <c r="L140" i="1"/>
  <c r="L139" i="1"/>
  <c r="L138" i="1"/>
  <c r="L143" i="1" s="1"/>
  <c r="L128" i="1"/>
  <c r="L126" i="1"/>
  <c r="L125" i="1"/>
  <c r="L123" i="1"/>
  <c r="L122" i="1"/>
  <c r="L121" i="1"/>
  <c r="L119" i="1"/>
  <c r="L117" i="1"/>
  <c r="L116" i="1"/>
  <c r="L115" i="1"/>
  <c r="L113" i="1"/>
  <c r="L112" i="1"/>
  <c r="L111" i="1"/>
  <c r="L110" i="1"/>
  <c r="L109" i="1"/>
  <c r="L108" i="1"/>
  <c r="L107" i="1"/>
  <c r="L106" i="1"/>
  <c r="L105" i="1"/>
  <c r="L104" i="1"/>
  <c r="L100" i="1"/>
  <c r="L98" i="1"/>
  <c r="L97" i="1"/>
  <c r="L95" i="1"/>
  <c r="L94" i="1"/>
  <c r="L93" i="1"/>
  <c r="L91" i="1"/>
  <c r="L89" i="1"/>
  <c r="L88" i="1"/>
  <c r="L87" i="1"/>
  <c r="L85" i="1"/>
  <c r="L84" i="1"/>
  <c r="L83" i="1"/>
  <c r="L82" i="1"/>
  <c r="L81" i="1"/>
  <c r="L80" i="1"/>
  <c r="L79" i="1"/>
  <c r="L78" i="1"/>
  <c r="L77" i="1"/>
  <c r="L64" i="1"/>
  <c r="L63" i="1"/>
  <c r="L61" i="1"/>
  <c r="L60" i="1"/>
  <c r="L59" i="1"/>
  <c r="L58" i="1"/>
  <c r="L57" i="1"/>
  <c r="L56" i="1"/>
  <c r="L55" i="1"/>
  <c r="L54" i="1"/>
  <c r="L53" i="1"/>
  <c r="L65" i="1" s="1"/>
  <c r="J42" i="1"/>
  <c r="L42" i="1" s="1"/>
  <c r="J41" i="1"/>
  <c r="L41" i="1" s="1"/>
  <c r="J39" i="1"/>
  <c r="L39" i="1" s="1"/>
  <c r="J38" i="1"/>
  <c r="L38" i="1" s="1"/>
  <c r="J37" i="1"/>
  <c r="L37" i="1" s="1"/>
  <c r="J36" i="1"/>
  <c r="L36" i="1" s="1"/>
  <c r="J35" i="1"/>
  <c r="L35" i="1" s="1"/>
  <c r="J34" i="1"/>
  <c r="L34" i="1" s="1"/>
  <c r="J33" i="1"/>
  <c r="L33" i="1" s="1"/>
  <c r="J21" i="1"/>
  <c r="L21" i="1" s="1"/>
  <c r="J20" i="1"/>
  <c r="L20" i="1" s="1"/>
  <c r="J18" i="1"/>
  <c r="L18" i="1" s="1"/>
  <c r="J17" i="1"/>
  <c r="L17" i="1" s="1"/>
  <c r="J16" i="1"/>
  <c r="L16" i="1" s="1"/>
  <c r="J15" i="1"/>
  <c r="L15" i="1" s="1"/>
  <c r="J14" i="1"/>
  <c r="L14" i="1" s="1"/>
  <c r="J13" i="1"/>
  <c r="L13" i="1" s="1"/>
  <c r="J12" i="1"/>
  <c r="L12" i="1" s="1"/>
  <c r="L191" i="1"/>
  <c r="L161" i="1" l="1"/>
  <c r="L22" i="1"/>
  <c r="L130" i="1"/>
  <c r="L190" i="1"/>
  <c r="L43" i="1"/>
  <c r="L192" i="1" l="1"/>
</calcChain>
</file>

<file path=xl/sharedStrings.xml><?xml version="1.0" encoding="utf-8"?>
<sst xmlns="http://schemas.openxmlformats.org/spreadsheetml/2006/main" count="587" uniqueCount="181">
  <si>
    <t>ENSAYO</t>
  </si>
  <si>
    <t>NORMA O PROCEDIMIENTO</t>
  </si>
  <si>
    <t>PLAN DE ENSAYOS DE RECEPCIÓN</t>
  </si>
  <si>
    <t>ENSAYOS</t>
  </si>
  <si>
    <t>PROYECTO</t>
  </si>
  <si>
    <t>TOTAL ENSAYOS</t>
  </si>
  <si>
    <t>PRECIO UNITARIO</t>
  </si>
  <si>
    <t>IMPORTE</t>
  </si>
  <si>
    <t>Nº</t>
  </si>
  <si>
    <t>TAMAÑO LOTE</t>
  </si>
  <si>
    <t>UD</t>
  </si>
  <si>
    <t>MEDICIÓN</t>
  </si>
  <si>
    <t>CAPÍTULO 1: EXPLANACIONES.</t>
  </si>
  <si>
    <t>1.- EXPLANACIONES</t>
  </si>
  <si>
    <t>1.1.- Identif. suelos excav. para uso como terraplén</t>
  </si>
  <si>
    <t>Análisis granulométrico de suelos por tamizado</t>
  </si>
  <si>
    <t>UNE-103101</t>
  </si>
  <si>
    <t>m³</t>
  </si>
  <si>
    <t>EXCADESMONTE (LM-1.02)</t>
  </si>
  <si>
    <t>Límites de Atterberg</t>
  </si>
  <si>
    <t>UNE-103103/103104</t>
  </si>
  <si>
    <t>Contenido en materia orgánica</t>
  </si>
  <si>
    <t>UNE-103204</t>
  </si>
  <si>
    <t>Ensayo de compactación Próctor normal</t>
  </si>
  <si>
    <t>UNE-103500</t>
  </si>
  <si>
    <t>Ensayo de compactación Próctor modificado</t>
  </si>
  <si>
    <t>UNE-103501</t>
  </si>
  <si>
    <t>Índice C.B.R.</t>
  </si>
  <si>
    <t>UNE-103502</t>
  </si>
  <si>
    <t>Contenido de sales solubles</t>
  </si>
  <si>
    <t>NLT-114</t>
  </si>
  <si>
    <t>1.2.- Compactación de terraplenes</t>
  </si>
  <si>
    <t>Densidad y humedad in situ coronación</t>
  </si>
  <si>
    <t>ASTM-D-3017</t>
  </si>
  <si>
    <t>m²</t>
  </si>
  <si>
    <t>RELLENOTERRA (LM-1.02)</t>
  </si>
  <si>
    <t>Densidad y humedad in situ núcleo</t>
  </si>
  <si>
    <t>TOTAL CAPÍTULO 1</t>
  </si>
  <si>
    <t>CAPÍTULO 2: EXPLANACIONES. CAPAS DE ASIENTO. SUELO SELECCIONADO.</t>
  </si>
  <si>
    <t>2.- SUELO SELECCIONADO</t>
  </si>
  <si>
    <t>2.1.- Identificación de los materiales</t>
  </si>
  <si>
    <t>RELLENOTERRA (LM-1.03)</t>
  </si>
  <si>
    <t>2.2.- Compactación</t>
  </si>
  <si>
    <t>Densidad y humedad in situ</t>
  </si>
  <si>
    <t>Deformabilidad</t>
  </si>
  <si>
    <t>NLT- 357 (PLACA DE CARGA)</t>
  </si>
  <si>
    <t>TOTAL CAPÍTULO 2</t>
  </si>
  <si>
    <t>CAPÍTULO 3: FIRMES. ZAHORRA ARTIFICIAL</t>
  </si>
  <si>
    <t>3.- ZAHORRA ARTIFICIAL</t>
  </si>
  <si>
    <t>PAV003</t>
  </si>
  <si>
    <t>3.1.- Identificación de los materiales</t>
  </si>
  <si>
    <t>UNE-EN 933-1</t>
  </si>
  <si>
    <t>PAV003 (LM-1.03)</t>
  </si>
  <si>
    <t>Humedad natural</t>
  </si>
  <si>
    <t>UNE-EN 1097-5</t>
  </si>
  <si>
    <t>UNE- 103103/103104</t>
  </si>
  <si>
    <t>Equivalente de arena</t>
  </si>
  <si>
    <t>UNE-EN 933-8</t>
  </si>
  <si>
    <t>Caras fracturadas</t>
  </si>
  <si>
    <t>UNE-EN 933-5</t>
  </si>
  <si>
    <t>Desgaste de Los Angeles</t>
  </si>
  <si>
    <t>UNE-EN 1097-2</t>
  </si>
  <si>
    <t>Índice de lajas</t>
  </si>
  <si>
    <t>UNE-EN 933-3</t>
  </si>
  <si>
    <t>Contenido en azufre</t>
  </si>
  <si>
    <t>UNE-EN 1744-1</t>
  </si>
  <si>
    <t>3.2.- Compactación</t>
  </si>
  <si>
    <t>TOTAL CAPÍTULO 3</t>
  </si>
  <si>
    <t>CAPÍTULO 4: MEZCLA BITUMINOSA EN CALIENTE</t>
  </si>
  <si>
    <t>4.- MEZCLAS BITUMINOSAS EN CALIENTE AC-22</t>
  </si>
  <si>
    <t>4.1.- Control de los materiales constituyentes</t>
  </si>
  <si>
    <t>4.1.1.- En origen o acopio</t>
  </si>
  <si>
    <t>Análisis granulométrico por tamizado</t>
  </si>
  <si>
    <t>tn</t>
  </si>
  <si>
    <t>PAV007 (LM-1.03)</t>
  </si>
  <si>
    <t>Azul de metileno</t>
  </si>
  <si>
    <t>UNE-EN 933-9</t>
  </si>
  <si>
    <t>Índice de lajas del árido grueso</t>
  </si>
  <si>
    <t>Tipo/Procedencia</t>
  </si>
  <si>
    <t>Porcentaje caras de fractura árido grueso</t>
  </si>
  <si>
    <t>Contenido en finos del árido grueso</t>
  </si>
  <si>
    <t>Ensayo de Los Ángeles árido grueso</t>
  </si>
  <si>
    <t>Densidad relativa y absorción árido grueso</t>
  </si>
  <si>
    <t>UNE-EN 1097-6</t>
  </si>
  <si>
    <t>Densidad relativa y absorción árido fino</t>
  </si>
  <si>
    <t>4.1.2.- Antes de entrada en tambor secador</t>
  </si>
  <si>
    <t>Análisis granulométrico del árido combinado</t>
  </si>
  <si>
    <t>Muestras</t>
  </si>
  <si>
    <t>día</t>
  </si>
  <si>
    <t>4.1.3.- A la salida del tambor secador</t>
  </si>
  <si>
    <t>Muestra</t>
  </si>
  <si>
    <t>4.1.4.- A la salida del mezclador</t>
  </si>
  <si>
    <t>Control de temperatura</t>
  </si>
  <si>
    <t>Ensayo</t>
  </si>
  <si>
    <t>camión</t>
  </si>
  <si>
    <t>Contenido de ligante</t>
  </si>
  <si>
    <t>UNE-EN 12697-1</t>
  </si>
  <si>
    <t>Granulometría de los áridos extraídos</t>
  </si>
  <si>
    <t>UNE-EN 12697-2</t>
  </si>
  <si>
    <t>4.2.- Control de la puesta en obra</t>
  </si>
  <si>
    <t>Densidad aparente y contenido de huecos</t>
  </si>
  <si>
    <t>UNE-EN 12697-6,8</t>
  </si>
  <si>
    <t>4.3.- Control de la unidad terminada</t>
  </si>
  <si>
    <t>Densidad aparente, contenido de huecos y espesor</t>
  </si>
  <si>
    <t>4.- MEZCLAS BITUMINOSAS EN CALIENTE AC-16</t>
  </si>
  <si>
    <t>PAV006 (LM-1.03)</t>
  </si>
  <si>
    <t>Coeficiente de pulimento acelerado (rodadura)</t>
  </si>
  <si>
    <t>UNE-EN 1097-8</t>
  </si>
  <si>
    <t>TOTAL CAPÍTULO 4</t>
  </si>
  <si>
    <t>CAPÍTULO 5: BORDILLOS</t>
  </si>
  <si>
    <t>5.- BORDILLOS PREFABRICADOS DE HORMIGÓN</t>
  </si>
  <si>
    <t>Características geométricas</t>
  </si>
  <si>
    <t>UNE-127 025 y 127 26</t>
  </si>
  <si>
    <t>Tipo</t>
  </si>
  <si>
    <t>B02.C01.07 / B02.C01.08 / B02.C01.09 (LM-1.03)</t>
  </si>
  <si>
    <t>Resistencia a la flexión</t>
  </si>
  <si>
    <t>UNE-127 028</t>
  </si>
  <si>
    <t>Resistencia al desgaste</t>
  </si>
  <si>
    <t>UNE-127 005</t>
  </si>
  <si>
    <t>Resistencia a la compresión</t>
  </si>
  <si>
    <t>UNE-83302-83304</t>
  </si>
  <si>
    <t>Coeficiente de absorción de agua</t>
  </si>
  <si>
    <t>UNE-127.002</t>
  </si>
  <si>
    <t>TOTAL CAPÍTULO 5</t>
  </si>
  <si>
    <t>CAPÍTULO 6: HORMIGONES Y ACEROS</t>
  </si>
  <si>
    <t>6.- HORMIGÓN ARMADO HA-25, HA-30.</t>
  </si>
  <si>
    <t>6.1.- Ensayos característicos hormigón en obra</t>
  </si>
  <si>
    <t>Resistencia a compresión simple</t>
  </si>
  <si>
    <t>UNE-83300, 1, 3 y 4</t>
  </si>
  <si>
    <t>P01HA010 (LM-1.04/05)</t>
  </si>
  <si>
    <t>Cono de Abrams</t>
  </si>
  <si>
    <t>UNE-83313</t>
  </si>
  <si>
    <t>6.2.- ACEROS BARRAS CORRUGADAS</t>
  </si>
  <si>
    <t>Ensayo tracción</t>
  </si>
  <si>
    <t>UNE-36068</t>
  </si>
  <si>
    <t>P03ACB010 (LM-1.04/05)</t>
  </si>
  <si>
    <t>Doblado desdoblado</t>
  </si>
  <si>
    <t>TOTAL CAPÍTULO 6</t>
  </si>
  <si>
    <t>CAPÍTULO 7: SEÑALIZACIÓN Y BALIZAMIENTO</t>
  </si>
  <si>
    <t>7.1.- MARCAS VIALES EN SEÑALIZACIÓN HORIZONTAL</t>
  </si>
  <si>
    <t>7.1.1.- Características de la pintura líquida</t>
  </si>
  <si>
    <t>Consistencia Krebs</t>
  </si>
  <si>
    <t>MELC-12.74</t>
  </si>
  <si>
    <t>cnP13C43 (LM-1.15)</t>
  </si>
  <si>
    <t>Tiempo de secado</t>
  </si>
  <si>
    <t>MELC-12.71</t>
  </si>
  <si>
    <t>Materia fija</t>
  </si>
  <si>
    <t>MELC-12.05</t>
  </si>
  <si>
    <t>Peso específico</t>
  </si>
  <si>
    <t>MELC-12.72</t>
  </si>
  <si>
    <t>Estabilidad envase lleno</t>
  </si>
  <si>
    <t>MELC-12.77</t>
  </si>
  <si>
    <t>Estabillidad a la dilución</t>
  </si>
  <si>
    <t>MELC-12.78</t>
  </si>
  <si>
    <t>7.1.2.- Características de las microesferas</t>
  </si>
  <si>
    <t>% microesferas defectuosas</t>
  </si>
  <si>
    <t>MELC-12.30</t>
  </si>
  <si>
    <t>cnP13C45 (LM-1.15)</t>
  </si>
  <si>
    <t>Granulometría microesferas</t>
  </si>
  <si>
    <t>MELC-12.32</t>
  </si>
  <si>
    <t>Índice de refracción</t>
  </si>
  <si>
    <t>MELC-12.31</t>
  </si>
  <si>
    <t>7.1.3.- Características de la pintura aplicada</t>
  </si>
  <si>
    <t>Coeficiente de retrorreflexión</t>
  </si>
  <si>
    <t>UNE-EN 1436</t>
  </si>
  <si>
    <t>m</t>
  </si>
  <si>
    <t>U18HMC010BL / U18HMD010BL (LM-1.15)</t>
  </si>
  <si>
    <t>7.2.- SEÑALES DE CIRCULACIÓN Y CARTELES DE ACERO GALVANIZADO</t>
  </si>
  <si>
    <t>7.2.1.- Características de las placas</t>
  </si>
  <si>
    <t>Espesor de la chapa de acero</t>
  </si>
  <si>
    <t>UNE-135310</t>
  </si>
  <si>
    <t>U18VAC060A / U18VACU060 / U18VAT090 (LM-1.15)</t>
  </si>
  <si>
    <t>Espesor de galvanizado</t>
  </si>
  <si>
    <t>UNE-135332</t>
  </si>
  <si>
    <t>7.2.2.- Características de los postes de sustentación</t>
  </si>
  <si>
    <t>TOTAL CAPÍTULO 7</t>
  </si>
  <si>
    <t>TOTAL CONTROL CALIDAD</t>
  </si>
  <si>
    <t>Criterio ICCP</t>
  </si>
  <si>
    <t>lote</t>
  </si>
  <si>
    <t>MCG-1.06 / MCG-1.11</t>
  </si>
  <si>
    <t>Suplemento de control de redes a presión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</si>
</sst>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sz val="9"/>
      <color theme="1"/>
      <name val="Montserrat"/>
      <charset val="1"/>
    </font>
    <font>
      <sz val="9"/>
      <name val="Montserrat"/>
      <charset val="1"/>
    </font>
    <font>
      <b/>
      <sz val="7"/>
      <color rgb="FF000000"/>
      <name val="Montserrat"/>
      <charset val="1"/>
    </font>
    <font>
      <b/>
      <sz val="7"/>
      <name val="Montserrat"/>
      <charset val="1"/>
    </font>
    <font>
      <b/>
      <u/>
      <sz val="7"/>
      <color rgb="FF000000"/>
      <name val="Montserrat"/>
      <charset val="1"/>
    </font>
    <font>
      <b/>
      <sz val="7"/>
      <color theme="1"/>
      <name val="Montserrat"/>
      <charset val="1"/>
    </font>
    <font>
      <sz val="7"/>
      <color theme="1"/>
      <name val="Montserrat"/>
      <charset val="1"/>
    </font>
    <font>
      <sz val="7"/>
      <name val="Montserrat"/>
      <charset val="1"/>
    </font>
    <font>
      <b/>
      <sz val="9"/>
      <color rgb="FFC00000"/>
      <name val="Montserrat"/>
      <charset val="1"/>
    </font>
    <font>
      <u/>
      <sz val="7"/>
      <color theme="1"/>
      <name val="Montserrat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EEBF7"/>
      </patternFill>
    </fill>
    <fill>
      <patternFill patternType="solid">
        <fgColor theme="8" tint="0.79989013336588644"/>
        <bgColor rgb="FFD9D9D9"/>
      </patternFill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2" fontId="1" fillId="0" borderId="0" xfId="0" applyNumberFormat="1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2" fontId="7" fillId="0" borderId="5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 indent="2"/>
    </xf>
    <xf numFmtId="0" fontId="7" fillId="0" borderId="7" xfId="0" applyFont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center" vertical="center" wrapText="1"/>
    </xf>
    <xf numFmtId="2" fontId="7" fillId="0" borderId="7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0" borderId="0" xfId="0" applyFont="1"/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3" fontId="7" fillId="0" borderId="10" xfId="0" applyNumberFormat="1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 indent="2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horizontal="left" vertical="center" wrapText="1" indent="3"/>
    </xf>
    <xf numFmtId="0" fontId="7" fillId="0" borderId="13" xfId="0" applyFont="1" applyBorder="1" applyAlignment="1">
      <alignment horizontal="center" vertical="center" wrapText="1"/>
    </xf>
    <xf numFmtId="3" fontId="7" fillId="0" borderId="13" xfId="0" applyNumberFormat="1" applyFont="1" applyBorder="1" applyAlignment="1">
      <alignment horizontal="center" vertical="center" wrapText="1"/>
    </xf>
    <xf numFmtId="2" fontId="7" fillId="0" borderId="13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2" fontId="7" fillId="0" borderId="15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horizontal="left" vertical="center" wrapText="1" indent="2"/>
    </xf>
    <xf numFmtId="0" fontId="7" fillId="0" borderId="17" xfId="0" applyFont="1" applyBorder="1" applyAlignment="1">
      <alignment horizontal="center" vertical="center" wrapText="1"/>
    </xf>
    <xf numFmtId="3" fontId="7" fillId="0" borderId="17" xfId="0" applyNumberFormat="1" applyFont="1" applyBorder="1" applyAlignment="1">
      <alignment horizontal="center" vertical="center" wrapText="1"/>
    </xf>
    <xf numFmtId="2" fontId="7" fillId="0" borderId="17" xfId="0" applyNumberFormat="1" applyFont="1" applyBorder="1" applyAlignment="1">
      <alignment horizontal="center" vertical="center" wrapText="1"/>
    </xf>
    <xf numFmtId="4" fontId="7" fillId="0" borderId="18" xfId="0" applyNumberFormat="1" applyFont="1" applyBorder="1" applyAlignment="1">
      <alignment horizontal="center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horizontal="left" vertical="center" wrapText="1" indent="2"/>
    </xf>
    <xf numFmtId="0" fontId="7" fillId="0" borderId="20" xfId="0" applyFont="1" applyBorder="1" applyAlignment="1">
      <alignment horizontal="center" vertical="center" wrapText="1"/>
    </xf>
    <xf numFmtId="3" fontId="7" fillId="0" borderId="20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4" fontId="7" fillId="0" borderId="2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4" fontId="6" fillId="3" borderId="15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/>
    <xf numFmtId="2" fontId="7" fillId="0" borderId="0" xfId="0" applyNumberFormat="1" applyFont="1" applyAlignment="1">
      <alignment horizontal="center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3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2" fontId="7" fillId="0" borderId="23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0" xfId="0" applyFont="1" applyBorder="1" applyAlignment="1">
      <alignment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4" fontId="6" fillId="3" borderId="2" xfId="0" applyNumberFormat="1" applyFont="1" applyFill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2" fontId="7" fillId="0" borderId="8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 indent="1"/>
    </xf>
    <xf numFmtId="2" fontId="7" fillId="0" borderId="11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5" xfId="0" applyNumberFormat="1" applyFont="1" applyBorder="1" applyAlignment="1">
      <alignment vertical="center" wrapText="1"/>
    </xf>
    <xf numFmtId="2" fontId="7" fillId="0" borderId="14" xfId="0" applyNumberFormat="1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3" fontId="7" fillId="0" borderId="5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 wrapText="1"/>
    </xf>
    <xf numFmtId="3" fontId="7" fillId="0" borderId="25" xfId="0" applyNumberFormat="1" applyFont="1" applyBorder="1" applyAlignment="1">
      <alignment horizontal="center" vertical="center" wrapText="1"/>
    </xf>
    <xf numFmtId="2" fontId="7" fillId="0" borderId="25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3" fontId="7" fillId="0" borderId="0" xfId="0" applyNumberFormat="1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 wrapText="1"/>
    </xf>
    <xf numFmtId="2" fontId="7" fillId="0" borderId="29" xfId="0" applyNumberFormat="1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4" fontId="6" fillId="3" borderId="30" xfId="0" applyNumberFormat="1" applyFont="1" applyFill="1" applyBorder="1" applyAlignment="1">
      <alignment horizontal="center" vertical="center"/>
    </xf>
    <xf numFmtId="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7" fillId="0" borderId="10" xfId="0" applyFont="1" applyBorder="1" applyAlignment="1">
      <alignment horizontal="center" vertical="center" wrapText="1"/>
    </xf>
    <xf numFmtId="0" fontId="0" fillId="0" borderId="34" xfId="0" applyBorder="1"/>
    <xf numFmtId="0" fontId="6" fillId="3" borderId="1" xfId="0" applyFont="1" applyFill="1" applyBorder="1" applyAlignment="1">
      <alignment horizontal="center" vertical="center" wrapText="1"/>
    </xf>
    <xf numFmtId="0" fontId="0" fillId="0" borderId="33" xfId="0" applyBorder="1"/>
    <xf numFmtId="0" fontId="0" fillId="0" borderId="15" xfId="0" applyBorder="1"/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/>
    </xf>
    <xf numFmtId="0" fontId="0" fillId="0" borderId="36" xfId="0" applyBorder="1"/>
    <xf numFmtId="0" fontId="6" fillId="3" borderId="3" xfId="0" applyFont="1" applyFill="1" applyBorder="1" applyAlignment="1">
      <alignment horizontal="left" vertical="center" wrapText="1" indent="5"/>
    </xf>
    <xf numFmtId="0" fontId="0" fillId="0" borderId="35" xfId="0" applyBorder="1"/>
    <xf numFmtId="0" fontId="0" fillId="0" borderId="2" xfId="0" applyBorder="1"/>
    <xf numFmtId="0" fontId="7" fillId="0" borderId="5" xfId="0" applyFont="1" applyBorder="1" applyAlignment="1">
      <alignment horizontal="center" vertical="center" wrapText="1"/>
    </xf>
    <xf numFmtId="0" fontId="0" fillId="0" borderId="31" xfId="0" applyBorder="1"/>
    <xf numFmtId="0" fontId="0" fillId="0" borderId="32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M192"/>
  <sheetViews>
    <sheetView tabSelected="1" topLeftCell="B1" zoomScale="145" zoomScaleNormal="145" workbookViewId="0">
      <selection activeCell="C4" sqref="C4"/>
    </sheetView>
  </sheetViews>
  <sheetFormatPr baseColWidth="10" defaultColWidth="11.42578125" defaultRowHeight="13.5" x14ac:dyDescent="0.25"/>
  <cols>
    <col min="1" max="1" width="21.42578125" style="1" customWidth="1"/>
    <col min="2" max="2" width="2.7109375" style="1" customWidth="1"/>
    <col min="3" max="3" width="45" style="1" customWidth="1"/>
    <col min="4" max="4" width="15.140625" style="2" customWidth="1"/>
    <col min="5" max="5" width="4.28515625" style="3" customWidth="1"/>
    <col min="6" max="6" width="9" style="1" customWidth="1"/>
    <col min="7" max="7" width="5" style="3" customWidth="1"/>
    <col min="8" max="8" width="8.5703125" style="4" customWidth="1"/>
    <col min="9" max="9" width="5.28515625" style="3" customWidth="1"/>
    <col min="10" max="10" width="10.42578125" style="3" customWidth="1"/>
    <col min="11" max="11" width="9.5703125" style="5" customWidth="1"/>
    <col min="12" max="12" width="10" style="3" customWidth="1"/>
    <col min="13" max="13" width="50.28515625" style="1" customWidth="1"/>
    <col min="14" max="14" width="11.42578125" style="1" customWidth="1"/>
    <col min="15" max="16384" width="11.42578125" style="1"/>
  </cols>
  <sheetData>
    <row r="5" spans="3:13" ht="14.25" customHeight="1" x14ac:dyDescent="0.25"/>
    <row r="6" spans="3:13" ht="15.75" customHeight="1" x14ac:dyDescent="0.25">
      <c r="C6" s="118" t="s">
        <v>0</v>
      </c>
      <c r="D6" s="118" t="s">
        <v>1</v>
      </c>
      <c r="E6" s="118" t="s">
        <v>2</v>
      </c>
      <c r="F6" s="124"/>
      <c r="G6" s="124"/>
      <c r="H6" s="124"/>
      <c r="I6" s="124"/>
      <c r="J6" s="124"/>
      <c r="K6" s="124"/>
      <c r="L6" s="125"/>
    </row>
    <row r="7" spans="3:13" ht="14.25" customHeight="1" x14ac:dyDescent="0.25">
      <c r="C7" s="120"/>
      <c r="D7" s="120"/>
      <c r="E7" s="118" t="s">
        <v>3</v>
      </c>
      <c r="F7" s="124"/>
      <c r="G7" s="125"/>
      <c r="H7" s="118" t="s">
        <v>4</v>
      </c>
      <c r="I7" s="125"/>
      <c r="J7" s="118" t="s">
        <v>5</v>
      </c>
      <c r="K7" s="128" t="s">
        <v>6</v>
      </c>
      <c r="L7" s="118" t="s">
        <v>7</v>
      </c>
    </row>
    <row r="8" spans="3:13" ht="18.75" customHeight="1" x14ac:dyDescent="0.25">
      <c r="C8" s="119"/>
      <c r="D8" s="119"/>
      <c r="E8" s="6" t="s">
        <v>8</v>
      </c>
      <c r="F8" s="6" t="s">
        <v>9</v>
      </c>
      <c r="G8" s="6" t="s">
        <v>10</v>
      </c>
      <c r="H8" s="7" t="s">
        <v>11</v>
      </c>
      <c r="I8" s="6" t="s">
        <v>10</v>
      </c>
      <c r="J8" s="119"/>
      <c r="K8" s="119"/>
      <c r="L8" s="119"/>
    </row>
    <row r="9" spans="3:13" ht="14.25" customHeight="1" x14ac:dyDescent="0.25">
      <c r="C9" s="126" t="s">
        <v>12</v>
      </c>
      <c r="D9" s="124"/>
      <c r="E9" s="124"/>
      <c r="F9" s="124"/>
      <c r="G9" s="124"/>
      <c r="H9" s="124"/>
      <c r="I9" s="124"/>
      <c r="J9" s="124"/>
      <c r="K9" s="124"/>
      <c r="L9" s="125"/>
    </row>
    <row r="10" spans="3:13" ht="15.75" customHeight="1" x14ac:dyDescent="0.25">
      <c r="C10" s="8" t="s">
        <v>13</v>
      </c>
      <c r="D10" s="127"/>
      <c r="E10" s="124"/>
      <c r="F10" s="124"/>
      <c r="G10" s="124"/>
      <c r="H10" s="124"/>
      <c r="I10" s="124"/>
      <c r="J10" s="124"/>
      <c r="K10" s="124"/>
      <c r="L10" s="125"/>
    </row>
    <row r="11" spans="3:13" ht="15" customHeight="1" x14ac:dyDescent="0.25">
      <c r="C11" s="10" t="s">
        <v>14</v>
      </c>
      <c r="D11" s="11"/>
      <c r="E11" s="12"/>
      <c r="F11" s="11"/>
      <c r="G11" s="12"/>
      <c r="H11" s="13"/>
      <c r="I11" s="12"/>
      <c r="J11" s="12"/>
      <c r="K11" s="14"/>
      <c r="L11" s="12"/>
    </row>
    <row r="12" spans="3:13" ht="15" x14ac:dyDescent="0.25">
      <c r="C12" s="15" t="s">
        <v>15</v>
      </c>
      <c r="D12" s="16" t="s">
        <v>16</v>
      </c>
      <c r="E12" s="17">
        <v>1</v>
      </c>
      <c r="F12" s="18">
        <v>10000</v>
      </c>
      <c r="G12" s="17" t="s">
        <v>17</v>
      </c>
      <c r="H12" s="117">
        <v>26391.19</v>
      </c>
      <c r="I12" s="17" t="s">
        <v>17</v>
      </c>
      <c r="J12" s="17">
        <f t="shared" ref="J12:J18" si="0">ROUNDUP(H12/F12,0)*E12</f>
        <v>3</v>
      </c>
      <c r="K12" s="19">
        <v>46.5</v>
      </c>
      <c r="L12" s="20">
        <f t="shared" ref="L12:L18" si="1">K12*J12</f>
        <v>139.5</v>
      </c>
      <c r="M12" s="21" t="s">
        <v>18</v>
      </c>
    </row>
    <row r="13" spans="3:13" ht="15" x14ac:dyDescent="0.25">
      <c r="C13" s="22" t="s">
        <v>19</v>
      </c>
      <c r="D13" s="23" t="s">
        <v>20</v>
      </c>
      <c r="E13" s="24">
        <v>1</v>
      </c>
      <c r="F13" s="25">
        <v>10000</v>
      </c>
      <c r="G13" s="24" t="s">
        <v>17</v>
      </c>
      <c r="H13" s="117">
        <v>26391.19</v>
      </c>
      <c r="I13" s="24" t="s">
        <v>17</v>
      </c>
      <c r="J13" s="24">
        <f t="shared" si="0"/>
        <v>3</v>
      </c>
      <c r="K13" s="26">
        <v>43.5</v>
      </c>
      <c r="L13" s="27">
        <f t="shared" si="1"/>
        <v>130.5</v>
      </c>
      <c r="M13" s="21" t="s">
        <v>18</v>
      </c>
    </row>
    <row r="14" spans="3:13" ht="15" x14ac:dyDescent="0.25">
      <c r="C14" s="22" t="s">
        <v>21</v>
      </c>
      <c r="D14" s="28" t="s">
        <v>22</v>
      </c>
      <c r="E14" s="24">
        <v>1</v>
      </c>
      <c r="F14" s="25">
        <v>10000</v>
      </c>
      <c r="G14" s="24" t="s">
        <v>17</v>
      </c>
      <c r="H14" s="117">
        <v>26391.19</v>
      </c>
      <c r="I14" s="24" t="s">
        <v>17</v>
      </c>
      <c r="J14" s="24">
        <f t="shared" si="0"/>
        <v>3</v>
      </c>
      <c r="K14" s="26">
        <v>43.5</v>
      </c>
      <c r="L14" s="27">
        <f t="shared" si="1"/>
        <v>130.5</v>
      </c>
      <c r="M14" s="21" t="s">
        <v>18</v>
      </c>
    </row>
    <row r="15" spans="3:13" ht="15" x14ac:dyDescent="0.25">
      <c r="C15" s="22" t="s">
        <v>23</v>
      </c>
      <c r="D15" s="28" t="s">
        <v>24</v>
      </c>
      <c r="E15" s="24">
        <v>1</v>
      </c>
      <c r="F15" s="25">
        <v>10000</v>
      </c>
      <c r="G15" s="24" t="s">
        <v>17</v>
      </c>
      <c r="H15" s="117">
        <v>26391.19</v>
      </c>
      <c r="I15" s="24" t="s">
        <v>17</v>
      </c>
      <c r="J15" s="24">
        <f t="shared" si="0"/>
        <v>3</v>
      </c>
      <c r="K15" s="26">
        <v>110</v>
      </c>
      <c r="L15" s="27">
        <f t="shared" si="1"/>
        <v>330</v>
      </c>
      <c r="M15" s="21" t="s">
        <v>18</v>
      </c>
    </row>
    <row r="16" spans="3:13" ht="15" x14ac:dyDescent="0.25">
      <c r="C16" s="22" t="s">
        <v>25</v>
      </c>
      <c r="D16" s="28" t="s">
        <v>26</v>
      </c>
      <c r="E16" s="24">
        <v>1</v>
      </c>
      <c r="F16" s="25">
        <v>10000</v>
      </c>
      <c r="G16" s="24" t="s">
        <v>17</v>
      </c>
      <c r="H16" s="117">
        <v>26391.19</v>
      </c>
      <c r="I16" s="24" t="s">
        <v>17</v>
      </c>
      <c r="J16" s="24">
        <f t="shared" si="0"/>
        <v>3</v>
      </c>
      <c r="K16" s="26">
        <v>113.5</v>
      </c>
      <c r="L16" s="27">
        <f t="shared" si="1"/>
        <v>340.5</v>
      </c>
      <c r="M16" s="21" t="s">
        <v>18</v>
      </c>
    </row>
    <row r="17" spans="3:13" ht="15" x14ac:dyDescent="0.25">
      <c r="C17" s="22" t="s">
        <v>27</v>
      </c>
      <c r="D17" s="28" t="s">
        <v>28</v>
      </c>
      <c r="E17" s="24">
        <v>1</v>
      </c>
      <c r="F17" s="25">
        <v>10000</v>
      </c>
      <c r="G17" s="24" t="s">
        <v>17</v>
      </c>
      <c r="H17" s="117">
        <v>26391.19</v>
      </c>
      <c r="I17" s="24" t="s">
        <v>17</v>
      </c>
      <c r="J17" s="24">
        <f t="shared" si="0"/>
        <v>3</v>
      </c>
      <c r="K17" s="26">
        <v>190</v>
      </c>
      <c r="L17" s="27">
        <f t="shared" si="1"/>
        <v>570</v>
      </c>
      <c r="M17" s="21" t="s">
        <v>18</v>
      </c>
    </row>
    <row r="18" spans="3:13" ht="14.25" customHeight="1" x14ac:dyDescent="0.25">
      <c r="C18" s="29" t="s">
        <v>29</v>
      </c>
      <c r="D18" s="30" t="s">
        <v>30</v>
      </c>
      <c r="E18" s="31">
        <v>1</v>
      </c>
      <c r="F18" s="32">
        <v>10000</v>
      </c>
      <c r="G18" s="31" t="s">
        <v>17</v>
      </c>
      <c r="H18" s="117">
        <v>26391.19</v>
      </c>
      <c r="I18" s="31" t="s">
        <v>17</v>
      </c>
      <c r="J18" s="31">
        <f t="shared" si="0"/>
        <v>3</v>
      </c>
      <c r="K18" s="33">
        <v>50</v>
      </c>
      <c r="L18" s="34">
        <f t="shared" si="1"/>
        <v>150</v>
      </c>
      <c r="M18" s="21" t="s">
        <v>18</v>
      </c>
    </row>
    <row r="19" spans="3:13" ht="14.25" customHeight="1" x14ac:dyDescent="0.25">
      <c r="C19" s="35" t="s">
        <v>31</v>
      </c>
      <c r="D19" s="36"/>
      <c r="E19" s="37"/>
      <c r="F19" s="38"/>
      <c r="G19" s="37"/>
      <c r="H19" s="39"/>
      <c r="I19" s="37"/>
      <c r="J19" s="37"/>
      <c r="K19" s="40"/>
      <c r="L19" s="37"/>
    </row>
    <row r="20" spans="3:13" ht="15" x14ac:dyDescent="0.25">
      <c r="C20" s="41" t="s">
        <v>32</v>
      </c>
      <c r="D20" s="42" t="s">
        <v>33</v>
      </c>
      <c r="E20" s="43">
        <v>5</v>
      </c>
      <c r="F20" s="44">
        <v>3500</v>
      </c>
      <c r="G20" s="43" t="s">
        <v>34</v>
      </c>
      <c r="H20" s="117">
        <v>10780.69</v>
      </c>
      <c r="I20" s="43" t="s">
        <v>34</v>
      </c>
      <c r="J20" s="43">
        <f>ROUNDUP(H20/F20,0)*E20</f>
        <v>20</v>
      </c>
      <c r="K20" s="45">
        <v>26</v>
      </c>
      <c r="L20" s="46">
        <f>J20*K20</f>
        <v>520</v>
      </c>
      <c r="M20" s="21" t="s">
        <v>35</v>
      </c>
    </row>
    <row r="21" spans="3:13" ht="14.25" customHeight="1" x14ac:dyDescent="0.25">
      <c r="C21" s="47" t="s">
        <v>36</v>
      </c>
      <c r="D21" s="48" t="s">
        <v>33</v>
      </c>
      <c r="E21" s="49">
        <v>5</v>
      </c>
      <c r="F21" s="50">
        <v>5000</v>
      </c>
      <c r="G21" s="49" t="s">
        <v>34</v>
      </c>
      <c r="H21" s="117">
        <v>10780.69</v>
      </c>
      <c r="I21" s="49" t="s">
        <v>34</v>
      </c>
      <c r="J21" s="49">
        <f>ROUNDUP(H21/F21,0)*E21</f>
        <v>15</v>
      </c>
      <c r="K21" s="51">
        <v>26</v>
      </c>
      <c r="L21" s="52">
        <f>J21*K21</f>
        <v>390</v>
      </c>
      <c r="M21" s="21" t="s">
        <v>35</v>
      </c>
    </row>
    <row r="22" spans="3:13" ht="14.25" customHeight="1" x14ac:dyDescent="0.25">
      <c r="C22" s="53"/>
      <c r="D22" s="36"/>
      <c r="E22" s="37"/>
      <c r="F22" s="38"/>
      <c r="G22" s="37"/>
      <c r="H22" s="39"/>
      <c r="I22" s="123" t="s">
        <v>37</v>
      </c>
      <c r="J22" s="124"/>
      <c r="K22" s="125"/>
      <c r="L22" s="54">
        <f>SUM(L11:L21)</f>
        <v>2701</v>
      </c>
    </row>
    <row r="23" spans="3:13" x14ac:dyDescent="0.25">
      <c r="C23" s="55"/>
      <c r="D23" s="56"/>
      <c r="E23" s="57"/>
      <c r="F23" s="55"/>
      <c r="G23" s="57"/>
      <c r="H23" s="58"/>
      <c r="I23" s="57"/>
      <c r="J23" s="57"/>
      <c r="K23" s="59"/>
      <c r="L23" s="57"/>
    </row>
    <row r="24" spans="3:13" x14ac:dyDescent="0.25">
      <c r="C24" s="55"/>
      <c r="D24" s="56"/>
      <c r="E24" s="57"/>
      <c r="F24" s="55"/>
      <c r="G24" s="57"/>
      <c r="H24" s="58"/>
      <c r="I24" s="57"/>
      <c r="J24" s="57"/>
      <c r="K24" s="59"/>
      <c r="L24" s="57"/>
    </row>
    <row r="25" spans="3:13" x14ac:dyDescent="0.25">
      <c r="C25" s="55"/>
      <c r="D25" s="56"/>
      <c r="E25" s="57"/>
      <c r="F25" s="55"/>
      <c r="G25" s="57"/>
      <c r="H25" s="58"/>
      <c r="I25" s="57"/>
      <c r="J25" s="57"/>
      <c r="K25" s="59"/>
      <c r="L25" s="57"/>
    </row>
    <row r="26" spans="3:13" ht="14.25" customHeight="1" x14ac:dyDescent="0.25">
      <c r="C26" s="55"/>
      <c r="D26" s="56"/>
      <c r="E26" s="57"/>
      <c r="F26" s="55"/>
      <c r="G26" s="57"/>
      <c r="H26" s="58"/>
      <c r="I26" s="57"/>
      <c r="J26" s="57"/>
      <c r="K26" s="59"/>
      <c r="L26" s="57"/>
    </row>
    <row r="27" spans="3:13" ht="15.75" customHeight="1" x14ac:dyDescent="0.25">
      <c r="C27" s="118" t="s">
        <v>0</v>
      </c>
      <c r="D27" s="118" t="s">
        <v>1</v>
      </c>
      <c r="E27" s="118" t="s">
        <v>2</v>
      </c>
      <c r="F27" s="124"/>
      <c r="G27" s="124"/>
      <c r="H27" s="124"/>
      <c r="I27" s="124"/>
      <c r="J27" s="124"/>
      <c r="K27" s="124"/>
      <c r="L27" s="125"/>
    </row>
    <row r="28" spans="3:13" ht="15.75" customHeight="1" x14ac:dyDescent="0.25">
      <c r="C28" s="120"/>
      <c r="D28" s="120"/>
      <c r="E28" s="118" t="s">
        <v>3</v>
      </c>
      <c r="F28" s="124"/>
      <c r="G28" s="125"/>
      <c r="H28" s="118" t="s">
        <v>4</v>
      </c>
      <c r="I28" s="125"/>
      <c r="J28" s="118" t="s">
        <v>5</v>
      </c>
      <c r="K28" s="128" t="s">
        <v>6</v>
      </c>
      <c r="L28" s="118" t="s">
        <v>7</v>
      </c>
    </row>
    <row r="29" spans="3:13" ht="18.75" customHeight="1" x14ac:dyDescent="0.25">
      <c r="C29" s="119"/>
      <c r="D29" s="119"/>
      <c r="E29" s="6" t="s">
        <v>8</v>
      </c>
      <c r="F29" s="6" t="s">
        <v>9</v>
      </c>
      <c r="G29" s="6" t="s">
        <v>10</v>
      </c>
      <c r="H29" s="7" t="s">
        <v>11</v>
      </c>
      <c r="I29" s="6" t="s">
        <v>10</v>
      </c>
      <c r="J29" s="119"/>
      <c r="K29" s="119"/>
      <c r="L29" s="119"/>
    </row>
    <row r="30" spans="3:13" ht="14.25" customHeight="1" x14ac:dyDescent="0.25">
      <c r="C30" s="126" t="s">
        <v>38</v>
      </c>
      <c r="D30" s="124"/>
      <c r="E30" s="124"/>
      <c r="F30" s="124"/>
      <c r="G30" s="124"/>
      <c r="H30" s="124"/>
      <c r="I30" s="124"/>
      <c r="J30" s="124"/>
      <c r="K30" s="124"/>
      <c r="L30" s="125"/>
    </row>
    <row r="31" spans="3:13" ht="15.75" customHeight="1" x14ac:dyDescent="0.25">
      <c r="C31" s="10" t="s">
        <v>39</v>
      </c>
      <c r="D31" s="134"/>
      <c r="E31" s="135"/>
      <c r="F31" s="135"/>
      <c r="G31" s="135"/>
      <c r="H31" s="135"/>
      <c r="I31" s="135"/>
      <c r="J31" s="135"/>
      <c r="K31" s="135"/>
      <c r="L31" s="136"/>
    </row>
    <row r="32" spans="3:13" ht="14.25" customHeight="1" x14ac:dyDescent="0.25">
      <c r="C32" s="35" t="s">
        <v>40</v>
      </c>
      <c r="D32" s="36"/>
      <c r="E32" s="37"/>
      <c r="F32" s="38"/>
      <c r="G32" s="37"/>
      <c r="H32" s="39"/>
      <c r="I32" s="37"/>
      <c r="J32" s="37"/>
      <c r="K32" s="40"/>
      <c r="L32" s="37"/>
    </row>
    <row r="33" spans="3:13" ht="15" x14ac:dyDescent="0.25">
      <c r="C33" s="41" t="s">
        <v>15</v>
      </c>
      <c r="D33" s="60" t="s">
        <v>16</v>
      </c>
      <c r="E33" s="43">
        <v>1</v>
      </c>
      <c r="F33" s="44">
        <v>5000</v>
      </c>
      <c r="G33" s="43" t="s">
        <v>17</v>
      </c>
      <c r="H33" s="117">
        <v>5027.2700000000004</v>
      </c>
      <c r="I33" s="43" t="s">
        <v>17</v>
      </c>
      <c r="J33" s="43">
        <f t="shared" ref="J33:J39" si="2">ROUNDUP(H33/F33,0)*E33</f>
        <v>2</v>
      </c>
      <c r="K33" s="45">
        <v>46.5</v>
      </c>
      <c r="L33" s="61">
        <f t="shared" ref="L33:L39" si="3">J33*K33</f>
        <v>93</v>
      </c>
      <c r="M33" s="21" t="s">
        <v>41</v>
      </c>
    </row>
    <row r="34" spans="3:13" ht="15" x14ac:dyDescent="0.25">
      <c r="C34" s="22" t="s">
        <v>19</v>
      </c>
      <c r="D34" s="23" t="s">
        <v>20</v>
      </c>
      <c r="E34" s="24">
        <v>1</v>
      </c>
      <c r="F34" s="25">
        <v>5000</v>
      </c>
      <c r="G34" s="24" t="s">
        <v>17</v>
      </c>
      <c r="H34" s="117">
        <v>5027.2700000000004</v>
      </c>
      <c r="I34" s="24" t="s">
        <v>17</v>
      </c>
      <c r="J34" s="24">
        <f t="shared" si="2"/>
        <v>2</v>
      </c>
      <c r="K34" s="26">
        <v>43.5</v>
      </c>
      <c r="L34" s="27">
        <f t="shared" si="3"/>
        <v>87</v>
      </c>
      <c r="M34" s="21" t="s">
        <v>41</v>
      </c>
    </row>
    <row r="35" spans="3:13" ht="15" x14ac:dyDescent="0.25">
      <c r="C35" s="22" t="s">
        <v>21</v>
      </c>
      <c r="D35" s="23" t="s">
        <v>22</v>
      </c>
      <c r="E35" s="24">
        <v>1</v>
      </c>
      <c r="F35" s="25">
        <v>5000</v>
      </c>
      <c r="G35" s="24" t="s">
        <v>17</v>
      </c>
      <c r="H35" s="117">
        <v>5027.2700000000004</v>
      </c>
      <c r="I35" s="24" t="s">
        <v>17</v>
      </c>
      <c r="J35" s="24">
        <f t="shared" si="2"/>
        <v>2</v>
      </c>
      <c r="K35" s="26">
        <v>43.5</v>
      </c>
      <c r="L35" s="27">
        <f t="shared" si="3"/>
        <v>87</v>
      </c>
      <c r="M35" s="21" t="s">
        <v>41</v>
      </c>
    </row>
    <row r="36" spans="3:13" ht="15" x14ac:dyDescent="0.25">
      <c r="C36" s="22" t="s">
        <v>23</v>
      </c>
      <c r="D36" s="23" t="s">
        <v>24</v>
      </c>
      <c r="E36" s="24">
        <v>1</v>
      </c>
      <c r="F36" s="25">
        <v>5000</v>
      </c>
      <c r="G36" s="24" t="s">
        <v>17</v>
      </c>
      <c r="H36" s="117">
        <v>5027.2700000000004</v>
      </c>
      <c r="I36" s="24" t="s">
        <v>17</v>
      </c>
      <c r="J36" s="24">
        <f t="shared" si="2"/>
        <v>2</v>
      </c>
      <c r="K36" s="26">
        <v>110</v>
      </c>
      <c r="L36" s="27">
        <f t="shared" si="3"/>
        <v>220</v>
      </c>
      <c r="M36" s="21" t="s">
        <v>41</v>
      </c>
    </row>
    <row r="37" spans="3:13" ht="15" x14ac:dyDescent="0.25">
      <c r="C37" s="22" t="s">
        <v>25</v>
      </c>
      <c r="D37" s="23" t="s">
        <v>26</v>
      </c>
      <c r="E37" s="24">
        <v>1</v>
      </c>
      <c r="F37" s="25">
        <v>5000</v>
      </c>
      <c r="G37" s="24" t="s">
        <v>17</v>
      </c>
      <c r="H37" s="117">
        <v>5027.2700000000004</v>
      </c>
      <c r="I37" s="24" t="s">
        <v>17</v>
      </c>
      <c r="J37" s="24">
        <f t="shared" si="2"/>
        <v>2</v>
      </c>
      <c r="K37" s="26">
        <v>113.5</v>
      </c>
      <c r="L37" s="27">
        <f t="shared" si="3"/>
        <v>227</v>
      </c>
      <c r="M37" s="21" t="s">
        <v>41</v>
      </c>
    </row>
    <row r="38" spans="3:13" ht="15" x14ac:dyDescent="0.25">
      <c r="C38" s="22" t="s">
        <v>27</v>
      </c>
      <c r="D38" s="23" t="s">
        <v>28</v>
      </c>
      <c r="E38" s="24">
        <v>1</v>
      </c>
      <c r="F38" s="25">
        <v>5000</v>
      </c>
      <c r="G38" s="24" t="s">
        <v>17</v>
      </c>
      <c r="H38" s="117">
        <v>5027.2700000000004</v>
      </c>
      <c r="I38" s="24" t="s">
        <v>17</v>
      </c>
      <c r="J38" s="24">
        <f t="shared" si="2"/>
        <v>2</v>
      </c>
      <c r="K38" s="26">
        <v>190</v>
      </c>
      <c r="L38" s="27">
        <f t="shared" si="3"/>
        <v>380</v>
      </c>
      <c r="M38" s="21" t="s">
        <v>41</v>
      </c>
    </row>
    <row r="39" spans="3:13" ht="14.25" customHeight="1" x14ac:dyDescent="0.25">
      <c r="C39" s="47" t="s">
        <v>29</v>
      </c>
      <c r="D39" s="62" t="s">
        <v>30</v>
      </c>
      <c r="E39" s="49">
        <v>1</v>
      </c>
      <c r="F39" s="50">
        <v>5000</v>
      </c>
      <c r="G39" s="49" t="s">
        <v>17</v>
      </c>
      <c r="H39" s="117">
        <v>5027.2700000000004</v>
      </c>
      <c r="I39" s="49" t="s">
        <v>17</v>
      </c>
      <c r="J39" s="49">
        <f t="shared" si="2"/>
        <v>2</v>
      </c>
      <c r="K39" s="51">
        <v>50</v>
      </c>
      <c r="L39" s="63">
        <f t="shared" si="3"/>
        <v>100</v>
      </c>
      <c r="M39" s="21" t="s">
        <v>41</v>
      </c>
    </row>
    <row r="40" spans="3:13" ht="14.25" customHeight="1" x14ac:dyDescent="0.25">
      <c r="C40" s="35" t="s">
        <v>42</v>
      </c>
      <c r="D40" s="36"/>
      <c r="E40" s="37"/>
      <c r="F40" s="38"/>
      <c r="G40" s="37"/>
      <c r="H40" s="39"/>
      <c r="I40" s="37"/>
      <c r="J40" s="37"/>
      <c r="K40" s="40"/>
      <c r="L40" s="37"/>
    </row>
    <row r="41" spans="3:13" ht="15" x14ac:dyDescent="0.25">
      <c r="C41" s="41" t="s">
        <v>43</v>
      </c>
      <c r="D41" s="60" t="s">
        <v>33</v>
      </c>
      <c r="E41" s="43">
        <v>5</v>
      </c>
      <c r="F41" s="44">
        <v>3500</v>
      </c>
      <c r="G41" s="43" t="s">
        <v>34</v>
      </c>
      <c r="H41" s="117">
        <v>5027.2700000000004</v>
      </c>
      <c r="I41" s="43" t="s">
        <v>34</v>
      </c>
      <c r="J41" s="64">
        <f>ROUNDUP(H41/F41,0)*E41</f>
        <v>10</v>
      </c>
      <c r="K41" s="45">
        <v>26</v>
      </c>
      <c r="L41" s="61">
        <f>J41*K41</f>
        <v>260</v>
      </c>
      <c r="M41" s="21" t="s">
        <v>41</v>
      </c>
    </row>
    <row r="42" spans="3:13" ht="21.75" customHeight="1" x14ac:dyDescent="0.25">
      <c r="C42" s="47" t="s">
        <v>44</v>
      </c>
      <c r="D42" s="49" t="s">
        <v>45</v>
      </c>
      <c r="E42" s="49">
        <v>1</v>
      </c>
      <c r="F42" s="50">
        <v>3500</v>
      </c>
      <c r="G42" s="49" t="s">
        <v>34</v>
      </c>
      <c r="H42" s="117">
        <v>5027.2700000000004</v>
      </c>
      <c r="I42" s="49" t="s">
        <v>34</v>
      </c>
      <c r="J42" s="49">
        <f>ROUNDUP(H42/F42,0)*E42</f>
        <v>2</v>
      </c>
      <c r="K42" s="51">
        <v>172.5</v>
      </c>
      <c r="L42" s="63">
        <f>J42*K42</f>
        <v>345</v>
      </c>
      <c r="M42" s="21" t="s">
        <v>41</v>
      </c>
    </row>
    <row r="43" spans="3:13" ht="14.25" customHeight="1" x14ac:dyDescent="0.25">
      <c r="C43" s="53"/>
      <c r="D43" s="36"/>
      <c r="E43" s="37"/>
      <c r="F43" s="38"/>
      <c r="G43" s="37"/>
      <c r="H43" s="39"/>
      <c r="I43" s="123" t="s">
        <v>46</v>
      </c>
      <c r="J43" s="124"/>
      <c r="K43" s="125"/>
      <c r="L43" s="54">
        <f>SUM(L32:L42)</f>
        <v>1799</v>
      </c>
    </row>
    <row r="44" spans="3:13" x14ac:dyDescent="0.25">
      <c r="C44" s="55"/>
      <c r="D44" s="56"/>
      <c r="E44" s="57"/>
      <c r="F44" s="55"/>
      <c r="G44" s="57"/>
      <c r="H44" s="58"/>
      <c r="I44" s="57"/>
      <c r="J44" s="57"/>
      <c r="K44" s="59"/>
      <c r="L44" s="57"/>
    </row>
    <row r="45" spans="3:13" x14ac:dyDescent="0.25">
      <c r="C45" s="55"/>
      <c r="D45" s="56"/>
      <c r="E45" s="57"/>
      <c r="F45" s="55"/>
      <c r="G45" s="57"/>
      <c r="H45" s="58"/>
      <c r="I45" s="57"/>
      <c r="J45" s="57"/>
      <c r="K45" s="59"/>
      <c r="L45" s="57"/>
    </row>
    <row r="46" spans="3:13" ht="14.25" customHeight="1" x14ac:dyDescent="0.25">
      <c r="C46" s="55"/>
      <c r="D46" s="56"/>
      <c r="E46" s="57"/>
      <c r="F46" s="55"/>
      <c r="G46" s="57"/>
      <c r="H46" s="58"/>
      <c r="I46" s="57"/>
      <c r="J46" s="57"/>
      <c r="K46" s="59"/>
      <c r="L46" s="57"/>
    </row>
    <row r="47" spans="3:13" ht="15.75" customHeight="1" x14ac:dyDescent="0.25">
      <c r="C47" s="118" t="s">
        <v>0</v>
      </c>
      <c r="D47" s="118" t="s">
        <v>1</v>
      </c>
      <c r="E47" s="118" t="s">
        <v>2</v>
      </c>
      <c r="F47" s="124"/>
      <c r="G47" s="124"/>
      <c r="H47" s="124"/>
      <c r="I47" s="124"/>
      <c r="J47" s="124"/>
      <c r="K47" s="124"/>
      <c r="L47" s="125"/>
    </row>
    <row r="48" spans="3:13" ht="14.25" customHeight="1" x14ac:dyDescent="0.25">
      <c r="C48" s="120"/>
      <c r="D48" s="120"/>
      <c r="E48" s="118" t="s">
        <v>3</v>
      </c>
      <c r="F48" s="124"/>
      <c r="G48" s="125"/>
      <c r="H48" s="118" t="s">
        <v>4</v>
      </c>
      <c r="I48" s="125"/>
      <c r="J48" s="118" t="s">
        <v>5</v>
      </c>
      <c r="K48" s="128" t="s">
        <v>6</v>
      </c>
      <c r="L48" s="118" t="s">
        <v>7</v>
      </c>
    </row>
    <row r="49" spans="3:13" ht="18.75" customHeight="1" x14ac:dyDescent="0.25">
      <c r="C49" s="119"/>
      <c r="D49" s="119"/>
      <c r="E49" s="6" t="s">
        <v>8</v>
      </c>
      <c r="F49" s="6" t="s">
        <v>9</v>
      </c>
      <c r="G49" s="6" t="s">
        <v>10</v>
      </c>
      <c r="H49" s="7" t="s">
        <v>11</v>
      </c>
      <c r="I49" s="6" t="s">
        <v>10</v>
      </c>
      <c r="J49" s="119"/>
      <c r="K49" s="119"/>
      <c r="L49" s="119"/>
    </row>
    <row r="50" spans="3:13" ht="14.25" customHeight="1" x14ac:dyDescent="0.25">
      <c r="C50" s="126" t="s">
        <v>47</v>
      </c>
      <c r="D50" s="124"/>
      <c r="E50" s="124"/>
      <c r="F50" s="124"/>
      <c r="G50" s="124"/>
      <c r="H50" s="124"/>
      <c r="I50" s="124"/>
      <c r="J50" s="124"/>
      <c r="K50" s="124"/>
      <c r="L50" s="125"/>
    </row>
    <row r="51" spans="3:13" ht="15.75" customHeight="1" x14ac:dyDescent="0.25">
      <c r="C51" s="8" t="s">
        <v>48</v>
      </c>
      <c r="D51" s="127"/>
      <c r="E51" s="124"/>
      <c r="F51" s="124"/>
      <c r="G51" s="124"/>
      <c r="H51" s="124"/>
      <c r="I51" s="124"/>
      <c r="J51" s="124"/>
      <c r="K51" s="124"/>
      <c r="L51" s="125"/>
      <c r="M51" s="1" t="s">
        <v>49</v>
      </c>
    </row>
    <row r="52" spans="3:13" ht="14.25" customHeight="1" x14ac:dyDescent="0.25">
      <c r="C52" s="10" t="s">
        <v>50</v>
      </c>
      <c r="D52" s="65"/>
      <c r="E52" s="66"/>
      <c r="F52" s="67"/>
      <c r="G52" s="66"/>
      <c r="H52" s="68"/>
      <c r="I52" s="66"/>
      <c r="J52" s="66"/>
      <c r="K52" s="69"/>
      <c r="L52" s="66"/>
    </row>
    <row r="53" spans="3:13" ht="15" x14ac:dyDescent="0.25">
      <c r="C53" s="15" t="s">
        <v>15</v>
      </c>
      <c r="D53" s="70" t="s">
        <v>51</v>
      </c>
      <c r="E53" s="17">
        <v>2</v>
      </c>
      <c r="F53" s="18">
        <v>1000</v>
      </c>
      <c r="G53" s="17" t="s">
        <v>17</v>
      </c>
      <c r="H53" s="117">
        <v>6209.6</v>
      </c>
      <c r="I53" s="17" t="s">
        <v>17</v>
      </c>
      <c r="J53" s="17">
        <v>6</v>
      </c>
      <c r="K53" s="19">
        <v>46.5</v>
      </c>
      <c r="L53" s="20">
        <f t="shared" ref="L53:L61" si="4">J53*K53</f>
        <v>279</v>
      </c>
      <c r="M53" s="21" t="s">
        <v>52</v>
      </c>
    </row>
    <row r="54" spans="3:13" ht="15" x14ac:dyDescent="0.25">
      <c r="C54" s="22" t="s">
        <v>53</v>
      </c>
      <c r="D54" s="23" t="s">
        <v>54</v>
      </c>
      <c r="E54" s="24">
        <v>2</v>
      </c>
      <c r="F54" s="25">
        <v>1000</v>
      </c>
      <c r="G54" s="24" t="s">
        <v>17</v>
      </c>
      <c r="H54" s="117">
        <v>6209.6</v>
      </c>
      <c r="I54" s="24" t="s">
        <v>17</v>
      </c>
      <c r="J54" s="24">
        <v>6</v>
      </c>
      <c r="K54" s="26">
        <v>46.5</v>
      </c>
      <c r="L54" s="27">
        <f t="shared" si="4"/>
        <v>279</v>
      </c>
      <c r="M54" s="21" t="s">
        <v>52</v>
      </c>
    </row>
    <row r="55" spans="3:13" ht="15" x14ac:dyDescent="0.25">
      <c r="C55" s="22" t="s">
        <v>19</v>
      </c>
      <c r="D55" s="71" t="s">
        <v>55</v>
      </c>
      <c r="E55" s="24">
        <v>1</v>
      </c>
      <c r="F55" s="25">
        <v>5000</v>
      </c>
      <c r="G55" s="24" t="s">
        <v>17</v>
      </c>
      <c r="H55" s="117">
        <v>6209.6</v>
      </c>
      <c r="I55" s="24" t="s">
        <v>17</v>
      </c>
      <c r="J55" s="24">
        <v>1</v>
      </c>
      <c r="K55" s="26">
        <v>43.5</v>
      </c>
      <c r="L55" s="27">
        <f t="shared" si="4"/>
        <v>43.5</v>
      </c>
      <c r="M55" s="21" t="s">
        <v>52</v>
      </c>
    </row>
    <row r="56" spans="3:13" ht="15" x14ac:dyDescent="0.25">
      <c r="C56" s="22" t="s">
        <v>25</v>
      </c>
      <c r="D56" s="23" t="s">
        <v>26</v>
      </c>
      <c r="E56" s="24">
        <v>1</v>
      </c>
      <c r="F56" s="25">
        <v>5000</v>
      </c>
      <c r="G56" s="24" t="s">
        <v>17</v>
      </c>
      <c r="H56" s="117">
        <v>6209.6</v>
      </c>
      <c r="I56" s="24" t="s">
        <v>17</v>
      </c>
      <c r="J56" s="24">
        <v>1</v>
      </c>
      <c r="K56" s="26">
        <v>113.5</v>
      </c>
      <c r="L56" s="27">
        <f t="shared" si="4"/>
        <v>113.5</v>
      </c>
      <c r="M56" s="21" t="s">
        <v>52</v>
      </c>
    </row>
    <row r="57" spans="3:13" ht="15" x14ac:dyDescent="0.25">
      <c r="C57" s="22" t="s">
        <v>56</v>
      </c>
      <c r="D57" s="23" t="s">
        <v>57</v>
      </c>
      <c r="E57" s="24">
        <v>1</v>
      </c>
      <c r="F57" s="25">
        <v>5000</v>
      </c>
      <c r="G57" s="24" t="s">
        <v>17</v>
      </c>
      <c r="H57" s="117">
        <v>6209.6</v>
      </c>
      <c r="I57" s="24" t="s">
        <v>17</v>
      </c>
      <c r="J57" s="24">
        <v>1</v>
      </c>
      <c r="K57" s="26">
        <v>27</v>
      </c>
      <c r="L57" s="27">
        <f t="shared" si="4"/>
        <v>27</v>
      </c>
      <c r="M57" s="21" t="s">
        <v>52</v>
      </c>
    </row>
    <row r="58" spans="3:13" ht="15" x14ac:dyDescent="0.25">
      <c r="C58" s="22" t="s">
        <v>58</v>
      </c>
      <c r="D58" s="23" t="s">
        <v>59</v>
      </c>
      <c r="E58" s="24">
        <v>1</v>
      </c>
      <c r="F58" s="25">
        <v>20000</v>
      </c>
      <c r="G58" s="24" t="s">
        <v>17</v>
      </c>
      <c r="H58" s="117">
        <v>6209.6</v>
      </c>
      <c r="I58" s="24" t="s">
        <v>17</v>
      </c>
      <c r="J58" s="24">
        <v>1</v>
      </c>
      <c r="K58" s="26">
        <v>27</v>
      </c>
      <c r="L58" s="27">
        <f t="shared" si="4"/>
        <v>27</v>
      </c>
      <c r="M58" s="21" t="s">
        <v>52</v>
      </c>
    </row>
    <row r="59" spans="3:13" ht="15" x14ac:dyDescent="0.25">
      <c r="C59" s="22" t="s">
        <v>60</v>
      </c>
      <c r="D59" s="23" t="s">
        <v>61</v>
      </c>
      <c r="E59" s="24">
        <v>1</v>
      </c>
      <c r="F59" s="25">
        <v>20000</v>
      </c>
      <c r="G59" s="24" t="s">
        <v>17</v>
      </c>
      <c r="H59" s="117">
        <v>6209.6</v>
      </c>
      <c r="I59" s="24" t="s">
        <v>17</v>
      </c>
      <c r="J59" s="24">
        <v>1</v>
      </c>
      <c r="K59" s="26">
        <v>49</v>
      </c>
      <c r="L59" s="27">
        <f t="shared" si="4"/>
        <v>49</v>
      </c>
      <c r="M59" s="21" t="s">
        <v>52</v>
      </c>
    </row>
    <row r="60" spans="3:13" ht="15" x14ac:dyDescent="0.25">
      <c r="C60" s="22" t="s">
        <v>62</v>
      </c>
      <c r="D60" s="23" t="s">
        <v>63</v>
      </c>
      <c r="E60" s="24">
        <v>1</v>
      </c>
      <c r="F60" s="25">
        <v>20000</v>
      </c>
      <c r="G60" s="24" t="s">
        <v>17</v>
      </c>
      <c r="H60" s="117">
        <v>6209.6</v>
      </c>
      <c r="I60" s="24" t="s">
        <v>17</v>
      </c>
      <c r="J60" s="24">
        <v>1</v>
      </c>
      <c r="K60" s="26">
        <v>35</v>
      </c>
      <c r="L60" s="27">
        <f t="shared" si="4"/>
        <v>35</v>
      </c>
      <c r="M60" s="21" t="s">
        <v>52</v>
      </c>
    </row>
    <row r="61" spans="3:13" ht="14.25" customHeight="1" x14ac:dyDescent="0.25">
      <c r="C61" s="29" t="s">
        <v>64</v>
      </c>
      <c r="D61" s="72" t="s">
        <v>65</v>
      </c>
      <c r="E61" s="31">
        <v>1</v>
      </c>
      <c r="F61" s="32">
        <v>20000</v>
      </c>
      <c r="G61" s="31" t="s">
        <v>17</v>
      </c>
      <c r="H61" s="117">
        <v>6209.6</v>
      </c>
      <c r="I61" s="31" t="s">
        <v>17</v>
      </c>
      <c r="J61" s="31">
        <v>1</v>
      </c>
      <c r="K61" s="33">
        <v>40</v>
      </c>
      <c r="L61" s="34">
        <f t="shared" si="4"/>
        <v>40</v>
      </c>
      <c r="M61" s="21" t="s">
        <v>52</v>
      </c>
    </row>
    <row r="62" spans="3:13" ht="14.25" customHeight="1" x14ac:dyDescent="0.25">
      <c r="C62" s="10" t="s">
        <v>66</v>
      </c>
      <c r="D62" s="65"/>
      <c r="E62" s="66"/>
      <c r="F62" s="67"/>
      <c r="G62" s="73"/>
      <c r="H62" s="74"/>
      <c r="I62" s="66"/>
      <c r="J62" s="66"/>
      <c r="K62" s="69"/>
      <c r="L62" s="66"/>
    </row>
    <row r="63" spans="3:13" ht="15" x14ac:dyDescent="0.25">
      <c r="C63" s="15" t="s">
        <v>43</v>
      </c>
      <c r="D63" s="70" t="s">
        <v>33</v>
      </c>
      <c r="E63" s="17">
        <v>7</v>
      </c>
      <c r="F63" s="18">
        <v>3500</v>
      </c>
      <c r="G63" s="17" t="s">
        <v>34</v>
      </c>
      <c r="H63" s="117">
        <v>6209.6</v>
      </c>
      <c r="I63" s="17" t="s">
        <v>34</v>
      </c>
      <c r="J63" s="17">
        <v>38</v>
      </c>
      <c r="K63" s="19">
        <v>26</v>
      </c>
      <c r="L63" s="20">
        <f>J63*K63</f>
        <v>988</v>
      </c>
      <c r="M63" s="21" t="s">
        <v>52</v>
      </c>
    </row>
    <row r="64" spans="3:13" ht="18.75" customHeight="1" x14ac:dyDescent="0.25">
      <c r="C64" s="29" t="s">
        <v>44</v>
      </c>
      <c r="D64" s="72" t="s">
        <v>45</v>
      </c>
      <c r="E64" s="31">
        <v>1</v>
      </c>
      <c r="F64" s="32">
        <v>3500</v>
      </c>
      <c r="G64" s="31" t="s">
        <v>34</v>
      </c>
      <c r="H64" s="117">
        <v>6209.6</v>
      </c>
      <c r="I64" s="31" t="s">
        <v>34</v>
      </c>
      <c r="J64" s="31">
        <v>5</v>
      </c>
      <c r="K64" s="33">
        <v>172.5</v>
      </c>
      <c r="L64" s="34">
        <f>J64*K64</f>
        <v>862.5</v>
      </c>
      <c r="M64" s="21" t="s">
        <v>52</v>
      </c>
    </row>
    <row r="65" spans="3:13" ht="14.25" customHeight="1" x14ac:dyDescent="0.25">
      <c r="C65" s="75"/>
      <c r="D65" s="76"/>
      <c r="E65" s="77"/>
      <c r="F65" s="78"/>
      <c r="G65" s="77"/>
      <c r="H65" s="79"/>
      <c r="I65" s="123" t="s">
        <v>67</v>
      </c>
      <c r="J65" s="124"/>
      <c r="K65" s="125"/>
      <c r="L65" s="80">
        <f>SUM(L52:L64)</f>
        <v>2743.5</v>
      </c>
    </row>
    <row r="66" spans="3:13" x14ac:dyDescent="0.25">
      <c r="C66" s="55"/>
      <c r="D66" s="56"/>
      <c r="E66" s="57"/>
      <c r="F66" s="55"/>
      <c r="G66" s="57"/>
      <c r="H66" s="58"/>
      <c r="I66" s="57"/>
      <c r="J66" s="57"/>
      <c r="K66" s="59"/>
      <c r="L66" s="57"/>
    </row>
    <row r="67" spans="3:13" x14ac:dyDescent="0.25">
      <c r="C67" s="55"/>
      <c r="D67" s="56"/>
      <c r="E67" s="57"/>
      <c r="F67" s="55"/>
      <c r="G67" s="57"/>
      <c r="H67" s="58"/>
      <c r="I67" s="57"/>
      <c r="J67" s="57"/>
      <c r="K67" s="59"/>
      <c r="L67" s="57"/>
    </row>
    <row r="68" spans="3:13" x14ac:dyDescent="0.25">
      <c r="C68" s="55"/>
      <c r="D68" s="56"/>
      <c r="E68" s="57"/>
      <c r="F68" s="55"/>
      <c r="G68" s="57"/>
      <c r="H68" s="58"/>
      <c r="I68" s="57"/>
      <c r="J68" s="57"/>
      <c r="K68" s="59"/>
      <c r="L68" s="57"/>
    </row>
    <row r="69" spans="3:13" ht="14.25" customHeight="1" x14ac:dyDescent="0.25">
      <c r="C69" s="55"/>
      <c r="D69" s="56"/>
      <c r="E69" s="57"/>
      <c r="F69" s="55"/>
      <c r="G69" s="57"/>
      <c r="H69" s="58"/>
      <c r="I69" s="57"/>
      <c r="J69" s="57"/>
      <c r="K69" s="59"/>
      <c r="L69" s="57"/>
    </row>
    <row r="70" spans="3:13" ht="15.75" customHeight="1" x14ac:dyDescent="0.25">
      <c r="C70" s="118" t="s">
        <v>0</v>
      </c>
      <c r="D70" s="118" t="s">
        <v>1</v>
      </c>
      <c r="E70" s="118" t="s">
        <v>2</v>
      </c>
      <c r="F70" s="124"/>
      <c r="G70" s="124"/>
      <c r="H70" s="124"/>
      <c r="I70" s="124"/>
      <c r="J70" s="124"/>
      <c r="K70" s="124"/>
      <c r="L70" s="125"/>
    </row>
    <row r="71" spans="3:13" ht="14.25" customHeight="1" x14ac:dyDescent="0.25">
      <c r="C71" s="120"/>
      <c r="D71" s="120"/>
      <c r="E71" s="118" t="s">
        <v>3</v>
      </c>
      <c r="F71" s="124"/>
      <c r="G71" s="125"/>
      <c r="H71" s="118" t="s">
        <v>4</v>
      </c>
      <c r="I71" s="125"/>
      <c r="J71" s="118" t="s">
        <v>5</v>
      </c>
      <c r="K71" s="128" t="s">
        <v>6</v>
      </c>
      <c r="L71" s="118" t="s">
        <v>7</v>
      </c>
    </row>
    <row r="72" spans="3:13" ht="18.75" customHeight="1" x14ac:dyDescent="0.25">
      <c r="C72" s="119"/>
      <c r="D72" s="119"/>
      <c r="E72" s="6" t="s">
        <v>8</v>
      </c>
      <c r="F72" s="6" t="s">
        <v>9</v>
      </c>
      <c r="G72" s="6" t="s">
        <v>10</v>
      </c>
      <c r="H72" s="7" t="s">
        <v>11</v>
      </c>
      <c r="I72" s="6" t="s">
        <v>10</v>
      </c>
      <c r="J72" s="119"/>
      <c r="K72" s="119"/>
      <c r="L72" s="119"/>
    </row>
    <row r="73" spans="3:13" ht="14.25" customHeight="1" x14ac:dyDescent="0.25">
      <c r="C73" s="126" t="s">
        <v>68</v>
      </c>
      <c r="D73" s="124"/>
      <c r="E73" s="124"/>
      <c r="F73" s="124"/>
      <c r="G73" s="124"/>
      <c r="H73" s="124"/>
      <c r="I73" s="124"/>
      <c r="J73" s="124"/>
      <c r="K73" s="124"/>
      <c r="L73" s="125"/>
    </row>
    <row r="74" spans="3:13" ht="15.75" customHeight="1" x14ac:dyDescent="0.25">
      <c r="C74" s="8" t="s">
        <v>69</v>
      </c>
      <c r="D74" s="127"/>
      <c r="E74" s="124"/>
      <c r="F74" s="124"/>
      <c r="G74" s="124"/>
      <c r="H74" s="124"/>
      <c r="I74" s="124"/>
      <c r="J74" s="124"/>
      <c r="K74" s="124"/>
      <c r="L74" s="125"/>
    </row>
    <row r="75" spans="3:13" ht="14.25" customHeight="1" x14ac:dyDescent="0.25">
      <c r="C75" s="10" t="s">
        <v>70</v>
      </c>
      <c r="D75" s="65"/>
      <c r="E75" s="66"/>
      <c r="F75" s="67"/>
      <c r="G75" s="66"/>
      <c r="H75" s="68"/>
      <c r="I75" s="66"/>
      <c r="J75" s="66"/>
      <c r="K75" s="69"/>
      <c r="L75" s="66"/>
    </row>
    <row r="76" spans="3:13" x14ac:dyDescent="0.25">
      <c r="C76" s="81" t="s">
        <v>71</v>
      </c>
      <c r="D76" s="70"/>
      <c r="E76" s="17"/>
      <c r="F76" s="82"/>
      <c r="G76" s="17"/>
      <c r="H76" s="83"/>
      <c r="I76" s="17"/>
      <c r="J76" s="17"/>
      <c r="K76" s="19"/>
      <c r="L76" s="84"/>
    </row>
    <row r="77" spans="3:13" ht="15" x14ac:dyDescent="0.25">
      <c r="C77" s="22" t="s">
        <v>72</v>
      </c>
      <c r="D77" s="85" t="s">
        <v>51</v>
      </c>
      <c r="E77" s="24">
        <v>1</v>
      </c>
      <c r="F77" s="25">
        <v>1000</v>
      </c>
      <c r="G77" s="24" t="s">
        <v>73</v>
      </c>
      <c r="H77">
        <v>4255.88</v>
      </c>
      <c r="I77" s="24" t="s">
        <v>73</v>
      </c>
      <c r="J77" s="24">
        <v>1</v>
      </c>
      <c r="K77" s="26">
        <v>46.5</v>
      </c>
      <c r="L77" s="86">
        <f t="shared" ref="L77:L85" si="5">J77*K77</f>
        <v>46.5</v>
      </c>
      <c r="M77" s="21" t="s">
        <v>74</v>
      </c>
    </row>
    <row r="78" spans="3:13" ht="15" x14ac:dyDescent="0.25">
      <c r="C78" s="22" t="s">
        <v>56</v>
      </c>
      <c r="D78" s="85" t="s">
        <v>57</v>
      </c>
      <c r="E78" s="24">
        <v>1</v>
      </c>
      <c r="F78" s="25">
        <v>1000</v>
      </c>
      <c r="G78" s="24" t="s">
        <v>73</v>
      </c>
      <c r="H78">
        <v>4255.88</v>
      </c>
      <c r="I78" s="24" t="s">
        <v>73</v>
      </c>
      <c r="J78" s="24">
        <v>1</v>
      </c>
      <c r="K78" s="26">
        <v>27</v>
      </c>
      <c r="L78" s="86">
        <f t="shared" si="5"/>
        <v>27</v>
      </c>
      <c r="M78" s="21" t="s">
        <v>74</v>
      </c>
    </row>
    <row r="79" spans="3:13" ht="15" x14ac:dyDescent="0.25">
      <c r="C79" s="22" t="s">
        <v>75</v>
      </c>
      <c r="D79" s="85" t="s">
        <v>76</v>
      </c>
      <c r="E79" s="24">
        <v>1</v>
      </c>
      <c r="F79" s="25">
        <v>1000</v>
      </c>
      <c r="G79" s="24" t="s">
        <v>73</v>
      </c>
      <c r="H79">
        <v>4255.88</v>
      </c>
      <c r="I79" s="24" t="s">
        <v>73</v>
      </c>
      <c r="J79" s="24">
        <v>1</v>
      </c>
      <c r="K79" s="26">
        <v>86</v>
      </c>
      <c r="L79" s="86">
        <f t="shared" si="5"/>
        <v>86</v>
      </c>
      <c r="M79" s="21" t="s">
        <v>74</v>
      </c>
    </row>
    <row r="80" spans="3:13" ht="18" customHeight="1" x14ac:dyDescent="0.25">
      <c r="C80" s="22" t="s">
        <v>77</v>
      </c>
      <c r="D80" s="85" t="s">
        <v>63</v>
      </c>
      <c r="E80" s="24">
        <v>1</v>
      </c>
      <c r="F80" s="24" t="s">
        <v>78</v>
      </c>
      <c r="G80" s="24"/>
      <c r="H80">
        <v>1</v>
      </c>
      <c r="I80" s="24"/>
      <c r="J80" s="24">
        <v>1</v>
      </c>
      <c r="K80" s="26">
        <v>35</v>
      </c>
      <c r="L80" s="86">
        <f t="shared" si="5"/>
        <v>35</v>
      </c>
      <c r="M80" s="21" t="s">
        <v>74</v>
      </c>
    </row>
    <row r="81" spans="3:13" ht="18" customHeight="1" x14ac:dyDescent="0.25">
      <c r="C81" s="22" t="s">
        <v>79</v>
      </c>
      <c r="D81" s="85" t="s">
        <v>59</v>
      </c>
      <c r="E81" s="24">
        <v>1</v>
      </c>
      <c r="F81" s="24" t="s">
        <v>78</v>
      </c>
      <c r="G81" s="24"/>
      <c r="H81">
        <v>1</v>
      </c>
      <c r="I81" s="24"/>
      <c r="J81" s="24">
        <v>1</v>
      </c>
      <c r="K81" s="26">
        <v>27</v>
      </c>
      <c r="L81" s="86">
        <f t="shared" si="5"/>
        <v>27</v>
      </c>
      <c r="M81" s="21" t="s">
        <v>74</v>
      </c>
    </row>
    <row r="82" spans="3:13" ht="18" customHeight="1" x14ac:dyDescent="0.25">
      <c r="C82" s="22" t="s">
        <v>80</v>
      </c>
      <c r="D82" s="23"/>
      <c r="E82" s="24">
        <v>1</v>
      </c>
      <c r="F82" s="24" t="s">
        <v>78</v>
      </c>
      <c r="G82" s="24"/>
      <c r="H82">
        <v>1</v>
      </c>
      <c r="I82" s="24"/>
      <c r="J82" s="24">
        <v>1</v>
      </c>
      <c r="K82" s="26">
        <v>51</v>
      </c>
      <c r="L82" s="86">
        <f t="shared" si="5"/>
        <v>51</v>
      </c>
      <c r="M82" s="21" t="s">
        <v>74</v>
      </c>
    </row>
    <row r="83" spans="3:13" ht="18" customHeight="1" x14ac:dyDescent="0.25">
      <c r="C83" s="22" t="s">
        <v>81</v>
      </c>
      <c r="D83" s="85" t="s">
        <v>61</v>
      </c>
      <c r="E83" s="24">
        <v>1</v>
      </c>
      <c r="F83" s="24" t="s">
        <v>78</v>
      </c>
      <c r="G83" s="24"/>
      <c r="H83">
        <v>1</v>
      </c>
      <c r="I83" s="24"/>
      <c r="J83" s="24">
        <v>1</v>
      </c>
      <c r="K83" s="26">
        <v>49</v>
      </c>
      <c r="L83" s="86">
        <f t="shared" si="5"/>
        <v>49</v>
      </c>
      <c r="M83" s="21" t="s">
        <v>74</v>
      </c>
    </row>
    <row r="84" spans="3:13" ht="18" customHeight="1" x14ac:dyDescent="0.25">
      <c r="C84" s="22" t="s">
        <v>82</v>
      </c>
      <c r="D84" s="85" t="s">
        <v>83</v>
      </c>
      <c r="E84" s="24">
        <v>1</v>
      </c>
      <c r="F84" s="24" t="s">
        <v>78</v>
      </c>
      <c r="G84" s="24"/>
      <c r="H84">
        <v>1</v>
      </c>
      <c r="I84" s="24"/>
      <c r="J84" s="24">
        <v>1</v>
      </c>
      <c r="K84" s="26">
        <v>53</v>
      </c>
      <c r="L84" s="86">
        <f t="shared" si="5"/>
        <v>53</v>
      </c>
      <c r="M84" s="21" t="s">
        <v>74</v>
      </c>
    </row>
    <row r="85" spans="3:13" ht="18" customHeight="1" x14ac:dyDescent="0.25">
      <c r="C85" s="22" t="s">
        <v>84</v>
      </c>
      <c r="D85" s="85" t="s">
        <v>83</v>
      </c>
      <c r="E85" s="24">
        <v>1</v>
      </c>
      <c r="F85" s="24" t="s">
        <v>78</v>
      </c>
      <c r="G85" s="24"/>
      <c r="H85">
        <v>1</v>
      </c>
      <c r="I85" s="24"/>
      <c r="J85" s="24">
        <v>1</v>
      </c>
      <c r="K85" s="26">
        <v>53</v>
      </c>
      <c r="L85" s="86">
        <f t="shared" si="5"/>
        <v>53</v>
      </c>
      <c r="M85" s="21" t="s">
        <v>74</v>
      </c>
    </row>
    <row r="86" spans="3:13" x14ac:dyDescent="0.25">
      <c r="C86" s="88" t="s">
        <v>85</v>
      </c>
      <c r="D86" s="23"/>
      <c r="E86" s="24"/>
      <c r="F86" s="71"/>
      <c r="G86" s="24"/>
      <c r="H86" s="87"/>
      <c r="I86" s="24"/>
      <c r="J86" s="24"/>
      <c r="K86" s="26"/>
      <c r="L86" s="86"/>
    </row>
    <row r="87" spans="3:13" ht="15" x14ac:dyDescent="0.25">
      <c r="C87" s="22" t="s">
        <v>86</v>
      </c>
      <c r="D87" s="85" t="s">
        <v>51</v>
      </c>
      <c r="E87" s="24">
        <v>2</v>
      </c>
      <c r="F87" s="24" t="s">
        <v>87</v>
      </c>
      <c r="G87" s="24" t="s">
        <v>88</v>
      </c>
      <c r="H87">
        <v>0</v>
      </c>
      <c r="I87" s="24" t="s">
        <v>88</v>
      </c>
      <c r="J87" s="24">
        <v>2</v>
      </c>
      <c r="K87" s="26">
        <v>46.5</v>
      </c>
      <c r="L87" s="86">
        <f>J87*K87</f>
        <v>93</v>
      </c>
      <c r="M87" s="21" t="s">
        <v>74</v>
      </c>
    </row>
    <row r="88" spans="3:13" ht="15" x14ac:dyDescent="0.25">
      <c r="C88" s="22" t="s">
        <v>56</v>
      </c>
      <c r="D88" s="85" t="s">
        <v>57</v>
      </c>
      <c r="E88" s="24">
        <v>2</v>
      </c>
      <c r="F88" s="24" t="s">
        <v>87</v>
      </c>
      <c r="G88" s="24" t="s">
        <v>88</v>
      </c>
      <c r="H88">
        <v>0</v>
      </c>
      <c r="I88" s="24" t="s">
        <v>88</v>
      </c>
      <c r="J88" s="24">
        <v>2</v>
      </c>
      <c r="K88" s="26">
        <v>27</v>
      </c>
      <c r="L88" s="86">
        <f>J88*K88</f>
        <v>54</v>
      </c>
      <c r="M88" s="21" t="s">
        <v>74</v>
      </c>
    </row>
    <row r="89" spans="3:13" ht="15" x14ac:dyDescent="0.25">
      <c r="C89" s="22" t="s">
        <v>75</v>
      </c>
      <c r="D89" s="85" t="s">
        <v>76</v>
      </c>
      <c r="E89" s="24">
        <v>2</v>
      </c>
      <c r="F89" s="24" t="s">
        <v>87</v>
      </c>
      <c r="G89" s="24" t="s">
        <v>88</v>
      </c>
      <c r="H89">
        <v>0</v>
      </c>
      <c r="I89" s="24" t="s">
        <v>88</v>
      </c>
      <c r="J89" s="24">
        <v>2</v>
      </c>
      <c r="K89" s="26">
        <v>86</v>
      </c>
      <c r="L89" s="86">
        <f>J89*K89</f>
        <v>172</v>
      </c>
      <c r="M89" s="21" t="s">
        <v>74</v>
      </c>
    </row>
    <row r="90" spans="3:13" x14ac:dyDescent="0.25">
      <c r="C90" s="88" t="s">
        <v>89</v>
      </c>
      <c r="D90" s="23"/>
      <c r="E90" s="24"/>
      <c r="F90" s="71"/>
      <c r="G90" s="24"/>
      <c r="H90" s="87"/>
      <c r="I90" s="24"/>
      <c r="J90" s="24"/>
      <c r="K90" s="26"/>
      <c r="L90" s="86"/>
    </row>
    <row r="91" spans="3:13" ht="15" x14ac:dyDescent="0.25">
      <c r="C91" s="22" t="s">
        <v>86</v>
      </c>
      <c r="D91" s="85" t="s">
        <v>51</v>
      </c>
      <c r="E91" s="24">
        <v>1</v>
      </c>
      <c r="F91" s="24" t="s">
        <v>90</v>
      </c>
      <c r="G91" s="24" t="s">
        <v>88</v>
      </c>
      <c r="H91">
        <v>0</v>
      </c>
      <c r="I91" s="24" t="s">
        <v>88</v>
      </c>
      <c r="J91" s="24">
        <v>1</v>
      </c>
      <c r="K91" s="26">
        <v>46.5</v>
      </c>
      <c r="L91" s="86">
        <f>J91*K91</f>
        <v>46.5</v>
      </c>
      <c r="M91" s="21" t="s">
        <v>74</v>
      </c>
    </row>
    <row r="92" spans="3:13" x14ac:dyDescent="0.25">
      <c r="C92" s="88" t="s">
        <v>91</v>
      </c>
      <c r="D92" s="23"/>
      <c r="E92" s="24"/>
      <c r="F92" s="71"/>
      <c r="G92" s="24"/>
      <c r="H92" s="87"/>
      <c r="I92" s="24"/>
      <c r="J92" s="24"/>
      <c r="K92" s="26"/>
      <c r="L92" s="86"/>
    </row>
    <row r="93" spans="3:13" ht="18" customHeight="1" x14ac:dyDescent="0.25">
      <c r="C93" s="22" t="s">
        <v>92</v>
      </c>
      <c r="D93" s="23"/>
      <c r="E93" s="24">
        <v>1</v>
      </c>
      <c r="F93" s="24" t="s">
        <v>93</v>
      </c>
      <c r="G93" s="24" t="s">
        <v>94</v>
      </c>
      <c r="H93">
        <v>0</v>
      </c>
      <c r="I93" s="24" t="s">
        <v>94</v>
      </c>
      <c r="J93" s="24">
        <v>9</v>
      </c>
      <c r="K93" s="26">
        <v>4.5</v>
      </c>
      <c r="L93" s="86">
        <f>J93*K93</f>
        <v>40.5</v>
      </c>
      <c r="M93" s="21" t="s">
        <v>74</v>
      </c>
    </row>
    <row r="94" spans="3:13" ht="15" x14ac:dyDescent="0.25">
      <c r="C94" s="22" t="s">
        <v>95</v>
      </c>
      <c r="D94" s="23" t="s">
        <v>96</v>
      </c>
      <c r="E94" s="24">
        <v>4</v>
      </c>
      <c r="F94" s="25">
        <v>1000</v>
      </c>
      <c r="G94" s="24" t="s">
        <v>73</v>
      </c>
      <c r="H94">
        <v>4255.88</v>
      </c>
      <c r="I94" s="24" t="s">
        <v>73</v>
      </c>
      <c r="J94" s="24">
        <v>4</v>
      </c>
      <c r="K94" s="26">
        <v>46.5</v>
      </c>
      <c r="L94" s="86">
        <f>J94*K94</f>
        <v>186</v>
      </c>
      <c r="M94" s="21" t="s">
        <v>74</v>
      </c>
    </row>
    <row r="95" spans="3:13" ht="14.25" customHeight="1" x14ac:dyDescent="0.25">
      <c r="C95" s="29" t="s">
        <v>97</v>
      </c>
      <c r="D95" s="72" t="s">
        <v>98</v>
      </c>
      <c r="E95" s="31">
        <v>4</v>
      </c>
      <c r="F95" s="32">
        <v>1000</v>
      </c>
      <c r="G95" s="31" t="s">
        <v>73</v>
      </c>
      <c r="H95">
        <v>4255.88</v>
      </c>
      <c r="I95" s="31" t="s">
        <v>73</v>
      </c>
      <c r="J95" s="31">
        <v>4</v>
      </c>
      <c r="K95" s="33">
        <v>46.5</v>
      </c>
      <c r="L95" s="89">
        <f>J95*K95</f>
        <v>186</v>
      </c>
      <c r="M95" s="21" t="s">
        <v>74</v>
      </c>
    </row>
    <row r="96" spans="3:13" ht="14.25" customHeight="1" x14ac:dyDescent="0.25">
      <c r="C96" s="10" t="s">
        <v>99</v>
      </c>
      <c r="D96" s="65"/>
      <c r="E96" s="66"/>
      <c r="F96" s="67"/>
      <c r="G96" s="66"/>
      <c r="H96" s="68"/>
      <c r="I96" s="66"/>
      <c r="J96" s="66"/>
      <c r="K96" s="90"/>
      <c r="L96" s="91"/>
    </row>
    <row r="97" spans="3:13" ht="18" customHeight="1" x14ac:dyDescent="0.25">
      <c r="C97" s="15" t="s">
        <v>92</v>
      </c>
      <c r="D97" s="70"/>
      <c r="E97" s="17">
        <v>1</v>
      </c>
      <c r="F97" s="17" t="s">
        <v>93</v>
      </c>
      <c r="G97" s="17" t="s">
        <v>94</v>
      </c>
      <c r="H97">
        <v>0</v>
      </c>
      <c r="I97" s="17" t="s">
        <v>94</v>
      </c>
      <c r="J97" s="17">
        <v>9</v>
      </c>
      <c r="K97" s="19">
        <v>4.5</v>
      </c>
      <c r="L97" s="84">
        <f>J97*K97</f>
        <v>40.5</v>
      </c>
      <c r="M97" s="21" t="s">
        <v>74</v>
      </c>
    </row>
    <row r="98" spans="3:13" ht="14.25" customHeight="1" x14ac:dyDescent="0.25">
      <c r="C98" s="29" t="s">
        <v>100</v>
      </c>
      <c r="D98" s="72" t="s">
        <v>101</v>
      </c>
      <c r="E98" s="31">
        <v>3</v>
      </c>
      <c r="F98" s="32">
        <v>3500</v>
      </c>
      <c r="G98" s="31" t="s">
        <v>34</v>
      </c>
      <c r="H98" s="117">
        <v>17732.830000000002</v>
      </c>
      <c r="I98" s="31" t="s">
        <v>34</v>
      </c>
      <c r="J98" s="31">
        <v>3</v>
      </c>
      <c r="K98" s="33">
        <v>55</v>
      </c>
      <c r="L98" s="92">
        <f>J98*K98</f>
        <v>165</v>
      </c>
      <c r="M98" s="21" t="s">
        <v>74</v>
      </c>
    </row>
    <row r="99" spans="3:13" ht="14.25" customHeight="1" x14ac:dyDescent="0.25">
      <c r="C99" s="8" t="s">
        <v>102</v>
      </c>
      <c r="D99" s="76"/>
      <c r="E99" s="77"/>
      <c r="F99" s="78"/>
      <c r="G99" s="77"/>
      <c r="H99" s="79"/>
      <c r="I99" s="77"/>
      <c r="J99" s="77"/>
      <c r="K99" s="93"/>
      <c r="L99" s="77"/>
    </row>
    <row r="100" spans="3:13" ht="14.25" customHeight="1" x14ac:dyDescent="0.25">
      <c r="C100" s="94" t="s">
        <v>103</v>
      </c>
      <c r="D100" s="95" t="s">
        <v>101</v>
      </c>
      <c r="E100" s="12">
        <v>3</v>
      </c>
      <c r="F100" s="96">
        <v>3500</v>
      </c>
      <c r="G100" s="12" t="s">
        <v>34</v>
      </c>
      <c r="H100" s="117">
        <v>17732.830000000002</v>
      </c>
      <c r="I100" s="12" t="s">
        <v>34</v>
      </c>
      <c r="J100" s="12">
        <v>3</v>
      </c>
      <c r="K100" s="14">
        <v>71</v>
      </c>
      <c r="L100" s="12">
        <f>J100*K100</f>
        <v>213</v>
      </c>
      <c r="M100" s="21" t="s">
        <v>74</v>
      </c>
    </row>
    <row r="101" spans="3:13" ht="14.25" customHeight="1" x14ac:dyDescent="0.25">
      <c r="C101" s="35" t="s">
        <v>104</v>
      </c>
      <c r="D101" s="36"/>
      <c r="E101" s="37"/>
      <c r="F101" s="38"/>
      <c r="G101" s="37"/>
      <c r="H101" s="39"/>
      <c r="I101" s="37"/>
      <c r="J101" s="37"/>
      <c r="K101" s="40"/>
      <c r="L101" s="37"/>
    </row>
    <row r="102" spans="3:13" ht="14.25" customHeight="1" x14ac:dyDescent="0.25">
      <c r="C102" s="10" t="s">
        <v>70</v>
      </c>
      <c r="D102" s="65"/>
      <c r="E102" s="66"/>
      <c r="F102" s="67"/>
      <c r="G102" s="66"/>
      <c r="H102" s="68"/>
      <c r="I102" s="66"/>
      <c r="J102" s="66"/>
      <c r="K102" s="69"/>
      <c r="L102" s="66"/>
    </row>
    <row r="103" spans="3:13" x14ac:dyDescent="0.25">
      <c r="C103" s="81" t="s">
        <v>71</v>
      </c>
      <c r="D103" s="70"/>
      <c r="E103" s="17"/>
      <c r="F103" s="82"/>
      <c r="G103" s="17"/>
      <c r="H103" s="83"/>
      <c r="I103" s="17"/>
      <c r="J103" s="17"/>
      <c r="K103" s="19"/>
      <c r="L103" s="20"/>
    </row>
    <row r="104" spans="3:13" ht="15" x14ac:dyDescent="0.25">
      <c r="C104" s="22" t="s">
        <v>72</v>
      </c>
      <c r="D104" s="85" t="s">
        <v>51</v>
      </c>
      <c r="E104" s="24">
        <v>1</v>
      </c>
      <c r="F104" s="25">
        <v>1000</v>
      </c>
      <c r="G104" s="24" t="s">
        <v>73</v>
      </c>
      <c r="H104">
        <v>3032.49</v>
      </c>
      <c r="I104" s="24" t="s">
        <v>73</v>
      </c>
      <c r="J104" s="24">
        <v>1</v>
      </c>
      <c r="K104" s="26">
        <v>46.5</v>
      </c>
      <c r="L104" s="27">
        <f t="shared" ref="L104:L113" si="6">J104*K104</f>
        <v>46.5</v>
      </c>
      <c r="M104" s="21" t="s">
        <v>105</v>
      </c>
    </row>
    <row r="105" spans="3:13" ht="15" x14ac:dyDescent="0.25">
      <c r="C105" s="22" t="s">
        <v>56</v>
      </c>
      <c r="D105" s="85" t="s">
        <v>57</v>
      </c>
      <c r="E105" s="24">
        <v>1</v>
      </c>
      <c r="F105" s="25">
        <v>1000</v>
      </c>
      <c r="G105" s="24" t="s">
        <v>73</v>
      </c>
      <c r="H105">
        <v>3032.49</v>
      </c>
      <c r="I105" s="24" t="s">
        <v>73</v>
      </c>
      <c r="J105" s="24">
        <v>1</v>
      </c>
      <c r="K105" s="26">
        <v>27</v>
      </c>
      <c r="L105" s="27">
        <f t="shared" si="6"/>
        <v>27</v>
      </c>
      <c r="M105" s="21" t="s">
        <v>105</v>
      </c>
    </row>
    <row r="106" spans="3:13" ht="15" x14ac:dyDescent="0.25">
      <c r="C106" s="22" t="s">
        <v>75</v>
      </c>
      <c r="D106" s="85" t="s">
        <v>76</v>
      </c>
      <c r="E106" s="24">
        <v>1</v>
      </c>
      <c r="F106" s="25">
        <v>1000</v>
      </c>
      <c r="G106" s="24" t="s">
        <v>73</v>
      </c>
      <c r="H106">
        <v>3032.49</v>
      </c>
      <c r="I106" s="24" t="s">
        <v>73</v>
      </c>
      <c r="J106" s="24">
        <v>1</v>
      </c>
      <c r="K106" s="26">
        <v>86</v>
      </c>
      <c r="L106" s="27">
        <f t="shared" si="6"/>
        <v>86</v>
      </c>
      <c r="M106" s="21" t="s">
        <v>105</v>
      </c>
    </row>
    <row r="107" spans="3:13" ht="15" x14ac:dyDescent="0.25">
      <c r="C107" s="22" t="s">
        <v>77</v>
      </c>
      <c r="D107" s="85" t="s">
        <v>63</v>
      </c>
      <c r="E107" s="24">
        <v>1</v>
      </c>
      <c r="F107" s="121" t="s">
        <v>78</v>
      </c>
      <c r="G107" s="122"/>
      <c r="H107">
        <v>1</v>
      </c>
      <c r="I107" s="24"/>
      <c r="J107" s="24">
        <v>1</v>
      </c>
      <c r="K107" s="26">
        <v>35</v>
      </c>
      <c r="L107" s="27">
        <f t="shared" si="6"/>
        <v>35</v>
      </c>
      <c r="M107" s="21" t="s">
        <v>105</v>
      </c>
    </row>
    <row r="108" spans="3:13" ht="15" x14ac:dyDescent="0.25">
      <c r="C108" s="22" t="s">
        <v>79</v>
      </c>
      <c r="D108" s="85" t="s">
        <v>59</v>
      </c>
      <c r="E108" s="24">
        <v>1</v>
      </c>
      <c r="F108" s="121" t="s">
        <v>78</v>
      </c>
      <c r="G108" s="122"/>
      <c r="H108">
        <v>1</v>
      </c>
      <c r="I108" s="24"/>
      <c r="J108" s="24">
        <v>1</v>
      </c>
      <c r="K108" s="26">
        <v>27</v>
      </c>
      <c r="L108" s="27">
        <f t="shared" si="6"/>
        <v>27</v>
      </c>
      <c r="M108" s="21" t="s">
        <v>105</v>
      </c>
    </row>
    <row r="109" spans="3:13" ht="15" x14ac:dyDescent="0.25">
      <c r="C109" s="22" t="s">
        <v>80</v>
      </c>
      <c r="D109" s="23"/>
      <c r="E109" s="24">
        <v>1</v>
      </c>
      <c r="F109" s="121" t="s">
        <v>78</v>
      </c>
      <c r="G109" s="122"/>
      <c r="H109">
        <v>1</v>
      </c>
      <c r="I109" s="24"/>
      <c r="J109" s="24">
        <v>1</v>
      </c>
      <c r="K109" s="26">
        <v>51</v>
      </c>
      <c r="L109" s="27">
        <f t="shared" si="6"/>
        <v>51</v>
      </c>
      <c r="M109" s="21" t="s">
        <v>105</v>
      </c>
    </row>
    <row r="110" spans="3:13" ht="15" x14ac:dyDescent="0.25">
      <c r="C110" s="22" t="s">
        <v>81</v>
      </c>
      <c r="D110" s="85" t="s">
        <v>61</v>
      </c>
      <c r="E110" s="24">
        <v>1</v>
      </c>
      <c r="F110" s="121" t="s">
        <v>78</v>
      </c>
      <c r="G110" s="122"/>
      <c r="H110">
        <v>1</v>
      </c>
      <c r="I110" s="24"/>
      <c r="J110" s="24">
        <v>1</v>
      </c>
      <c r="K110" s="26">
        <v>49</v>
      </c>
      <c r="L110" s="27">
        <f t="shared" si="6"/>
        <v>49</v>
      </c>
      <c r="M110" s="21" t="s">
        <v>105</v>
      </c>
    </row>
    <row r="111" spans="3:13" ht="15" x14ac:dyDescent="0.25">
      <c r="C111" s="22" t="s">
        <v>106</v>
      </c>
      <c r="D111" s="85" t="s">
        <v>107</v>
      </c>
      <c r="E111" s="24">
        <v>1</v>
      </c>
      <c r="F111" s="121" t="s">
        <v>78</v>
      </c>
      <c r="G111" s="122"/>
      <c r="H111">
        <v>1</v>
      </c>
      <c r="I111" s="24"/>
      <c r="J111" s="24">
        <v>1</v>
      </c>
      <c r="K111" s="26">
        <v>530</v>
      </c>
      <c r="L111" s="27">
        <f t="shared" si="6"/>
        <v>530</v>
      </c>
      <c r="M111" s="21" t="s">
        <v>105</v>
      </c>
    </row>
    <row r="112" spans="3:13" ht="15" x14ac:dyDescent="0.25">
      <c r="C112" s="22" t="s">
        <v>82</v>
      </c>
      <c r="D112" s="85" t="s">
        <v>83</v>
      </c>
      <c r="E112" s="24">
        <v>1</v>
      </c>
      <c r="F112" s="121" t="s">
        <v>78</v>
      </c>
      <c r="G112" s="122"/>
      <c r="H112">
        <v>1</v>
      </c>
      <c r="I112" s="24"/>
      <c r="J112" s="24">
        <v>1</v>
      </c>
      <c r="K112" s="26">
        <v>53</v>
      </c>
      <c r="L112" s="27">
        <f t="shared" si="6"/>
        <v>53</v>
      </c>
      <c r="M112" s="21" t="s">
        <v>105</v>
      </c>
    </row>
    <row r="113" spans="3:13" ht="15" x14ac:dyDescent="0.25">
      <c r="C113" s="22" t="s">
        <v>84</v>
      </c>
      <c r="D113" s="85" t="s">
        <v>83</v>
      </c>
      <c r="E113" s="24">
        <v>1</v>
      </c>
      <c r="F113" s="121" t="s">
        <v>78</v>
      </c>
      <c r="G113" s="122"/>
      <c r="H113">
        <v>1</v>
      </c>
      <c r="I113" s="24"/>
      <c r="J113" s="24">
        <v>1</v>
      </c>
      <c r="K113" s="26">
        <v>53</v>
      </c>
      <c r="L113" s="27">
        <f t="shared" si="6"/>
        <v>53</v>
      </c>
      <c r="M113" s="21" t="s">
        <v>105</v>
      </c>
    </row>
    <row r="114" spans="3:13" x14ac:dyDescent="0.25">
      <c r="C114" s="88" t="s">
        <v>85</v>
      </c>
      <c r="D114" s="23"/>
      <c r="E114" s="24"/>
      <c r="F114" s="71"/>
      <c r="G114" s="24"/>
      <c r="H114" s="87"/>
      <c r="I114" s="24"/>
      <c r="J114" s="24"/>
      <c r="K114" s="26"/>
      <c r="L114" s="27"/>
    </row>
    <row r="115" spans="3:13" ht="15" x14ac:dyDescent="0.25">
      <c r="C115" s="22" t="s">
        <v>86</v>
      </c>
      <c r="D115" s="85" t="s">
        <v>51</v>
      </c>
      <c r="E115" s="24">
        <v>2</v>
      </c>
      <c r="F115" s="24" t="s">
        <v>87</v>
      </c>
      <c r="G115" s="24" t="s">
        <v>88</v>
      </c>
      <c r="H115">
        <v>0</v>
      </c>
      <c r="I115" s="24" t="s">
        <v>88</v>
      </c>
      <c r="J115" s="24">
        <v>2</v>
      </c>
      <c r="K115" s="26">
        <v>46.5</v>
      </c>
      <c r="L115" s="27">
        <f>J115*K115</f>
        <v>93</v>
      </c>
      <c r="M115" s="21" t="s">
        <v>105</v>
      </c>
    </row>
    <row r="116" spans="3:13" ht="15" x14ac:dyDescent="0.25">
      <c r="C116" s="22" t="s">
        <v>56</v>
      </c>
      <c r="D116" s="85" t="s">
        <v>57</v>
      </c>
      <c r="E116" s="24">
        <v>2</v>
      </c>
      <c r="F116" s="24" t="s">
        <v>87</v>
      </c>
      <c r="G116" s="24" t="s">
        <v>88</v>
      </c>
      <c r="H116">
        <v>0</v>
      </c>
      <c r="I116" s="24" t="s">
        <v>88</v>
      </c>
      <c r="J116" s="24">
        <v>2</v>
      </c>
      <c r="K116" s="26">
        <v>27</v>
      </c>
      <c r="L116" s="27">
        <f>J116*K116</f>
        <v>54</v>
      </c>
      <c r="M116" s="21" t="s">
        <v>105</v>
      </c>
    </row>
    <row r="117" spans="3:13" ht="15" x14ac:dyDescent="0.25">
      <c r="C117" s="22" t="s">
        <v>75</v>
      </c>
      <c r="D117" s="85" t="s">
        <v>76</v>
      </c>
      <c r="E117" s="24">
        <v>2</v>
      </c>
      <c r="F117" s="24" t="s">
        <v>87</v>
      </c>
      <c r="G117" s="24" t="s">
        <v>88</v>
      </c>
      <c r="H117">
        <v>0</v>
      </c>
      <c r="I117" s="24" t="s">
        <v>88</v>
      </c>
      <c r="J117" s="24">
        <v>2</v>
      </c>
      <c r="K117" s="26">
        <v>86</v>
      </c>
      <c r="L117" s="27">
        <f>J117*K117</f>
        <v>172</v>
      </c>
      <c r="M117" s="21" t="s">
        <v>105</v>
      </c>
    </row>
    <row r="118" spans="3:13" x14ac:dyDescent="0.25">
      <c r="C118" s="88" t="s">
        <v>89</v>
      </c>
      <c r="D118" s="23"/>
      <c r="E118" s="24"/>
      <c r="F118" s="71"/>
      <c r="G118" s="24"/>
      <c r="H118" s="87"/>
      <c r="I118" s="24"/>
      <c r="J118" s="24"/>
      <c r="K118" s="26"/>
      <c r="L118" s="27"/>
    </row>
    <row r="119" spans="3:13" ht="15" x14ac:dyDescent="0.25">
      <c r="C119" s="22" t="s">
        <v>86</v>
      </c>
      <c r="D119" s="85" t="s">
        <v>51</v>
      </c>
      <c r="E119" s="24">
        <v>1</v>
      </c>
      <c r="F119" s="24" t="s">
        <v>90</v>
      </c>
      <c r="G119" s="24" t="s">
        <v>88</v>
      </c>
      <c r="H119">
        <v>0</v>
      </c>
      <c r="I119" s="24" t="s">
        <v>88</v>
      </c>
      <c r="J119" s="24">
        <v>1</v>
      </c>
      <c r="K119" s="26">
        <v>46.5</v>
      </c>
      <c r="L119" s="27">
        <f>J119*K119</f>
        <v>46.5</v>
      </c>
      <c r="M119" s="21" t="s">
        <v>105</v>
      </c>
    </row>
    <row r="120" spans="3:13" x14ac:dyDescent="0.25">
      <c r="C120" s="88" t="s">
        <v>91</v>
      </c>
      <c r="D120" s="23"/>
      <c r="E120" s="24"/>
      <c r="F120" s="71"/>
      <c r="G120" s="24"/>
      <c r="H120" s="87"/>
      <c r="I120" s="24"/>
      <c r="J120" s="24"/>
      <c r="K120" s="26"/>
      <c r="L120" s="27"/>
    </row>
    <row r="121" spans="3:13" ht="18" customHeight="1" x14ac:dyDescent="0.25">
      <c r="C121" s="22" t="s">
        <v>92</v>
      </c>
      <c r="D121" s="23"/>
      <c r="E121" s="24">
        <v>1</v>
      </c>
      <c r="F121" s="24" t="s">
        <v>93</v>
      </c>
      <c r="G121" s="24" t="s">
        <v>94</v>
      </c>
      <c r="H121">
        <v>0</v>
      </c>
      <c r="I121" s="24" t="s">
        <v>94</v>
      </c>
      <c r="J121" s="24">
        <v>9</v>
      </c>
      <c r="K121" s="26">
        <v>4.5</v>
      </c>
      <c r="L121" s="27">
        <f>J121*K121</f>
        <v>40.5</v>
      </c>
      <c r="M121" s="21" t="s">
        <v>105</v>
      </c>
    </row>
    <row r="122" spans="3:13" ht="14.25" customHeight="1" x14ac:dyDescent="0.25">
      <c r="C122" s="29" t="s">
        <v>95</v>
      </c>
      <c r="D122" s="72" t="s">
        <v>96</v>
      </c>
      <c r="E122" s="31">
        <v>4</v>
      </c>
      <c r="F122" s="32">
        <v>1000</v>
      </c>
      <c r="G122" s="31" t="s">
        <v>73</v>
      </c>
      <c r="H122">
        <v>3032.49</v>
      </c>
      <c r="I122" s="31" t="s">
        <v>73</v>
      </c>
      <c r="J122" s="31">
        <v>4</v>
      </c>
      <c r="K122" s="33">
        <v>46.5</v>
      </c>
      <c r="L122" s="34">
        <f>J122*K122</f>
        <v>186</v>
      </c>
      <c r="M122" s="21" t="s">
        <v>105</v>
      </c>
    </row>
    <row r="123" spans="3:13" ht="14.25" customHeight="1" x14ac:dyDescent="0.25">
      <c r="C123" s="97" t="s">
        <v>97</v>
      </c>
      <c r="D123" s="98" t="s">
        <v>98</v>
      </c>
      <c r="E123" s="99">
        <v>4</v>
      </c>
      <c r="F123" s="100">
        <v>1000</v>
      </c>
      <c r="G123" s="99" t="s">
        <v>73</v>
      </c>
      <c r="H123">
        <v>3032.49</v>
      </c>
      <c r="I123" s="99" t="s">
        <v>73</v>
      </c>
      <c r="J123" s="99">
        <v>4</v>
      </c>
      <c r="K123" s="101">
        <v>46.5</v>
      </c>
      <c r="L123" s="102">
        <f>J123*K123</f>
        <v>186</v>
      </c>
      <c r="M123" s="21" t="s">
        <v>105</v>
      </c>
    </row>
    <row r="124" spans="3:13" ht="14.25" customHeight="1" x14ac:dyDescent="0.25">
      <c r="C124" s="35" t="s">
        <v>99</v>
      </c>
      <c r="D124" s="36"/>
      <c r="E124" s="37"/>
      <c r="F124" s="38"/>
      <c r="G124" s="37"/>
      <c r="H124" s="39"/>
      <c r="I124" s="37"/>
      <c r="J124" s="37"/>
      <c r="K124" s="40"/>
      <c r="L124" s="37"/>
    </row>
    <row r="125" spans="3:13" ht="18" customHeight="1" x14ac:dyDescent="0.25">
      <c r="C125" s="15" t="s">
        <v>92</v>
      </c>
      <c r="D125" s="70"/>
      <c r="E125" s="17">
        <v>1</v>
      </c>
      <c r="F125" s="17" t="s">
        <v>93</v>
      </c>
      <c r="G125" s="17" t="s">
        <v>94</v>
      </c>
      <c r="H125">
        <v>0</v>
      </c>
      <c r="I125" s="17" t="s">
        <v>94</v>
      </c>
      <c r="J125" s="17">
        <v>9</v>
      </c>
      <c r="K125" s="19">
        <v>4.5</v>
      </c>
      <c r="L125" s="20">
        <f>J125*K125</f>
        <v>40.5</v>
      </c>
      <c r="M125" s="21" t="s">
        <v>105</v>
      </c>
    </row>
    <row r="126" spans="3:13" ht="14.25" customHeight="1" x14ac:dyDescent="0.25">
      <c r="C126" s="29" t="s">
        <v>100</v>
      </c>
      <c r="D126" s="72" t="s">
        <v>101</v>
      </c>
      <c r="E126" s="31">
        <v>3</v>
      </c>
      <c r="F126" s="32">
        <v>3500</v>
      </c>
      <c r="G126" s="31" t="s">
        <v>34</v>
      </c>
      <c r="H126" s="117">
        <v>25270.720000000001</v>
      </c>
      <c r="I126" s="31" t="s">
        <v>34</v>
      </c>
      <c r="J126" s="31">
        <v>3</v>
      </c>
      <c r="K126" s="33">
        <v>55</v>
      </c>
      <c r="L126" s="34">
        <f>J126*K126</f>
        <v>165</v>
      </c>
      <c r="M126" s="21" t="s">
        <v>105</v>
      </c>
    </row>
    <row r="127" spans="3:13" ht="14.25" customHeight="1" x14ac:dyDescent="0.25">
      <c r="C127" s="10" t="s">
        <v>102</v>
      </c>
      <c r="D127" s="65"/>
      <c r="E127" s="66"/>
      <c r="F127" s="67"/>
      <c r="G127" s="66"/>
      <c r="H127" s="68"/>
      <c r="I127" s="66"/>
      <c r="J127" s="66"/>
      <c r="K127" s="69"/>
      <c r="L127" s="66"/>
    </row>
    <row r="128" spans="3:13" ht="14.25" customHeight="1" x14ac:dyDescent="0.25">
      <c r="C128" s="53" t="s">
        <v>103</v>
      </c>
      <c r="D128" s="103" t="s">
        <v>101</v>
      </c>
      <c r="E128" s="9">
        <v>3</v>
      </c>
      <c r="F128" s="104">
        <v>3500</v>
      </c>
      <c r="G128" s="9" t="s">
        <v>34</v>
      </c>
      <c r="H128" s="117">
        <v>25270.720000000001</v>
      </c>
      <c r="I128" s="9" t="s">
        <v>34</v>
      </c>
      <c r="J128" s="9">
        <v>3</v>
      </c>
      <c r="K128" s="105">
        <v>71</v>
      </c>
      <c r="L128" s="9">
        <f>J128*K128</f>
        <v>213</v>
      </c>
      <c r="M128" s="21" t="s">
        <v>105</v>
      </c>
    </row>
    <row r="129" spans="3:13" ht="14.25" customHeight="1" x14ac:dyDescent="0.25">
      <c r="C129" s="106"/>
      <c r="D129" s="107"/>
      <c r="E129" s="73"/>
      <c r="F129" s="108"/>
      <c r="G129" s="73"/>
      <c r="H129" s="109"/>
      <c r="I129" s="73"/>
      <c r="J129" s="57"/>
      <c r="K129" s="59"/>
      <c r="L129" s="59"/>
    </row>
    <row r="130" spans="3:13" ht="14.25" customHeight="1" x14ac:dyDescent="0.25">
      <c r="C130" s="53"/>
      <c r="D130" s="36"/>
      <c r="E130" s="37"/>
      <c r="F130" s="38"/>
      <c r="G130" s="37"/>
      <c r="H130" s="39"/>
      <c r="I130" s="123" t="s">
        <v>108</v>
      </c>
      <c r="J130" s="124"/>
      <c r="K130" s="125"/>
      <c r="L130" s="54">
        <f>SUM(L77:L128)</f>
        <v>3778</v>
      </c>
    </row>
    <row r="131" spans="3:13" x14ac:dyDescent="0.25">
      <c r="C131" s="55"/>
      <c r="D131" s="56"/>
      <c r="E131" s="57"/>
      <c r="F131" s="55"/>
      <c r="G131" s="57"/>
      <c r="H131" s="58"/>
      <c r="I131" s="57"/>
      <c r="J131" s="57"/>
      <c r="K131" s="59"/>
      <c r="L131" s="57"/>
    </row>
    <row r="132" spans="3:13" ht="14.25" customHeight="1" x14ac:dyDescent="0.25">
      <c r="C132" s="55"/>
      <c r="D132" s="56"/>
      <c r="E132" s="57"/>
      <c r="F132" s="55"/>
      <c r="G132" s="57"/>
      <c r="H132" s="58"/>
      <c r="I132" s="57"/>
      <c r="J132" s="57"/>
      <c r="K132" s="59"/>
      <c r="L132" s="57"/>
    </row>
    <row r="133" spans="3:13" ht="15.75" customHeight="1" x14ac:dyDescent="0.25">
      <c r="C133" s="118" t="s">
        <v>0</v>
      </c>
      <c r="D133" s="118" t="s">
        <v>1</v>
      </c>
      <c r="E133" s="118" t="s">
        <v>2</v>
      </c>
      <c r="F133" s="124"/>
      <c r="G133" s="124"/>
      <c r="H133" s="124"/>
      <c r="I133" s="124"/>
      <c r="J133" s="124"/>
      <c r="K133" s="124"/>
      <c r="L133" s="125"/>
    </row>
    <row r="134" spans="3:13" ht="14.25" customHeight="1" x14ac:dyDescent="0.25">
      <c r="C134" s="120"/>
      <c r="D134" s="120"/>
      <c r="E134" s="118" t="s">
        <v>3</v>
      </c>
      <c r="F134" s="124"/>
      <c r="G134" s="125"/>
      <c r="H134" s="118" t="s">
        <v>4</v>
      </c>
      <c r="I134" s="125"/>
      <c r="J134" s="118" t="s">
        <v>5</v>
      </c>
      <c r="K134" s="128" t="s">
        <v>6</v>
      </c>
      <c r="L134" s="118" t="s">
        <v>7</v>
      </c>
    </row>
    <row r="135" spans="3:13" ht="18.75" customHeight="1" x14ac:dyDescent="0.25">
      <c r="C135" s="119"/>
      <c r="D135" s="119"/>
      <c r="E135" s="6" t="s">
        <v>8</v>
      </c>
      <c r="F135" s="6" t="s">
        <v>9</v>
      </c>
      <c r="G135" s="6" t="s">
        <v>10</v>
      </c>
      <c r="H135" s="7" t="s">
        <v>11</v>
      </c>
      <c r="I135" s="6" t="s">
        <v>10</v>
      </c>
      <c r="J135" s="119"/>
      <c r="K135" s="119"/>
      <c r="L135" s="119"/>
    </row>
    <row r="136" spans="3:13" ht="14.25" customHeight="1" x14ac:dyDescent="0.25">
      <c r="C136" s="126" t="s">
        <v>109</v>
      </c>
      <c r="D136" s="124"/>
      <c r="E136" s="124"/>
      <c r="F136" s="124"/>
      <c r="G136" s="124"/>
      <c r="H136" s="124"/>
      <c r="I136" s="124"/>
      <c r="J136" s="124"/>
      <c r="K136" s="124"/>
      <c r="L136" s="125"/>
    </row>
    <row r="137" spans="3:13" ht="14.25" customHeight="1" x14ac:dyDescent="0.25">
      <c r="C137" s="10" t="s">
        <v>110</v>
      </c>
      <c r="D137" s="127"/>
      <c r="E137" s="124"/>
      <c r="F137" s="124"/>
      <c r="G137" s="124"/>
      <c r="H137" s="124"/>
      <c r="I137" s="124"/>
      <c r="J137" s="124"/>
      <c r="K137" s="124"/>
      <c r="L137" s="125"/>
    </row>
    <row r="138" spans="3:13" ht="15" x14ac:dyDescent="0.25">
      <c r="C138" s="15" t="s">
        <v>111</v>
      </c>
      <c r="D138" s="70" t="s">
        <v>112</v>
      </c>
      <c r="E138" s="17">
        <v>1</v>
      </c>
      <c r="F138" s="17" t="s">
        <v>113</v>
      </c>
      <c r="G138" s="17"/>
      <c r="H138">
        <v>3</v>
      </c>
      <c r="I138" s="17"/>
      <c r="J138">
        <v>3</v>
      </c>
      <c r="K138" s="19">
        <v>61</v>
      </c>
      <c r="L138" s="20">
        <f>J138*K138</f>
        <v>183</v>
      </c>
      <c r="M138" t="s">
        <v>114</v>
      </c>
    </row>
    <row r="139" spans="3:13" ht="15" x14ac:dyDescent="0.25">
      <c r="C139" s="22" t="s">
        <v>115</v>
      </c>
      <c r="D139" s="23" t="s">
        <v>116</v>
      </c>
      <c r="E139" s="24">
        <v>1</v>
      </c>
      <c r="F139" s="24" t="s">
        <v>113</v>
      </c>
      <c r="G139" s="24"/>
      <c r="H139">
        <v>3</v>
      </c>
      <c r="I139" s="24"/>
      <c r="J139">
        <v>3</v>
      </c>
      <c r="K139" s="26">
        <v>51</v>
      </c>
      <c r="L139" s="27">
        <f>J139*K139</f>
        <v>153</v>
      </c>
      <c r="M139" t="s">
        <v>114</v>
      </c>
    </row>
    <row r="140" spans="3:13" ht="15" x14ac:dyDescent="0.25">
      <c r="C140" s="22" t="s">
        <v>117</v>
      </c>
      <c r="D140" s="23" t="s">
        <v>118</v>
      </c>
      <c r="E140" s="24">
        <v>1</v>
      </c>
      <c r="F140" s="24" t="s">
        <v>113</v>
      </c>
      <c r="G140" s="24"/>
      <c r="H140">
        <v>3</v>
      </c>
      <c r="I140" s="24"/>
      <c r="J140">
        <v>3</v>
      </c>
      <c r="K140" s="26">
        <v>51</v>
      </c>
      <c r="L140" s="27">
        <f>J140*K140</f>
        <v>153</v>
      </c>
      <c r="M140" t="s">
        <v>114</v>
      </c>
    </row>
    <row r="141" spans="3:13" ht="15" x14ac:dyDescent="0.25">
      <c r="C141" s="22" t="s">
        <v>119</v>
      </c>
      <c r="D141" s="23" t="s">
        <v>120</v>
      </c>
      <c r="E141" s="24">
        <v>1</v>
      </c>
      <c r="F141" s="24" t="s">
        <v>113</v>
      </c>
      <c r="G141" s="24"/>
      <c r="H141">
        <v>3</v>
      </c>
      <c r="I141" s="24"/>
      <c r="J141">
        <v>3</v>
      </c>
      <c r="K141" s="26">
        <v>51</v>
      </c>
      <c r="L141" s="27">
        <f>J141*K141</f>
        <v>153</v>
      </c>
      <c r="M141" t="s">
        <v>114</v>
      </c>
    </row>
    <row r="142" spans="3:13" ht="14.25" customHeight="1" x14ac:dyDescent="0.25">
      <c r="C142" s="29" t="s">
        <v>121</v>
      </c>
      <c r="D142" s="72" t="s">
        <v>122</v>
      </c>
      <c r="E142" s="31">
        <v>1</v>
      </c>
      <c r="F142" s="31" t="s">
        <v>113</v>
      </c>
      <c r="G142" s="31"/>
      <c r="H142">
        <v>3</v>
      </c>
      <c r="I142" s="31"/>
      <c r="J142">
        <v>3</v>
      </c>
      <c r="K142" s="33">
        <v>77.5</v>
      </c>
      <c r="L142" s="34">
        <f>J142*K142</f>
        <v>232.5</v>
      </c>
      <c r="M142" t="s">
        <v>114</v>
      </c>
    </row>
    <row r="143" spans="3:13" ht="14.25" customHeight="1" x14ac:dyDescent="0.25">
      <c r="C143" s="75"/>
      <c r="D143" s="76"/>
      <c r="E143" s="77"/>
      <c r="F143" s="78"/>
      <c r="G143" s="77"/>
      <c r="H143" s="79"/>
      <c r="I143" s="123" t="s">
        <v>123</v>
      </c>
      <c r="J143" s="124"/>
      <c r="K143" s="125"/>
      <c r="L143" s="110">
        <f>SUM(L138:L142)</f>
        <v>874.5</v>
      </c>
    </row>
    <row r="144" spans="3:13" x14ac:dyDescent="0.25">
      <c r="C144" s="55"/>
      <c r="D144" s="56"/>
      <c r="E144" s="57"/>
      <c r="F144" s="55"/>
      <c r="G144" s="57"/>
      <c r="H144" s="58"/>
      <c r="I144" s="57"/>
      <c r="J144" s="57"/>
      <c r="K144" s="59"/>
      <c r="L144" s="57"/>
    </row>
    <row r="145" spans="3:13" x14ac:dyDescent="0.25">
      <c r="C145" s="55"/>
      <c r="D145" s="56"/>
      <c r="E145" s="57"/>
      <c r="F145" s="55"/>
      <c r="G145" s="57"/>
      <c r="H145" s="58"/>
      <c r="I145" s="57"/>
      <c r="J145" s="57"/>
      <c r="K145" s="59"/>
      <c r="L145" s="57"/>
    </row>
    <row r="146" spans="3:13" x14ac:dyDescent="0.25">
      <c r="C146" s="55"/>
      <c r="D146" s="56"/>
      <c r="E146" s="57"/>
      <c r="F146" s="55"/>
      <c r="G146" s="57"/>
      <c r="H146" s="58"/>
      <c r="I146" s="57"/>
      <c r="J146" s="57"/>
      <c r="K146" s="59"/>
      <c r="L146" s="57"/>
    </row>
    <row r="147" spans="3:13" ht="14.25" customHeight="1" x14ac:dyDescent="0.25">
      <c r="C147" s="55"/>
      <c r="D147" s="56"/>
      <c r="E147" s="57"/>
      <c r="F147" s="55"/>
      <c r="G147" s="57"/>
      <c r="H147" s="58"/>
      <c r="I147" s="57"/>
      <c r="J147" s="57"/>
      <c r="K147" s="59"/>
      <c r="L147" s="57"/>
    </row>
    <row r="148" spans="3:13" ht="15.75" customHeight="1" x14ac:dyDescent="0.25">
      <c r="C148" s="118" t="s">
        <v>0</v>
      </c>
      <c r="D148" s="118" t="s">
        <v>1</v>
      </c>
      <c r="E148" s="118" t="s">
        <v>2</v>
      </c>
      <c r="F148" s="124"/>
      <c r="G148" s="124"/>
      <c r="H148" s="124"/>
      <c r="I148" s="124"/>
      <c r="J148" s="124"/>
      <c r="K148" s="124"/>
      <c r="L148" s="125"/>
    </row>
    <row r="149" spans="3:13" ht="14.25" customHeight="1" x14ac:dyDescent="0.25">
      <c r="C149" s="120"/>
      <c r="D149" s="120"/>
      <c r="E149" s="118" t="s">
        <v>3</v>
      </c>
      <c r="F149" s="124"/>
      <c r="G149" s="125"/>
      <c r="H149" s="118" t="s">
        <v>4</v>
      </c>
      <c r="I149" s="125"/>
      <c r="J149" s="118" t="s">
        <v>5</v>
      </c>
      <c r="K149" s="128" t="s">
        <v>6</v>
      </c>
      <c r="L149" s="118" t="s">
        <v>7</v>
      </c>
    </row>
    <row r="150" spans="3:13" ht="18.75" customHeight="1" x14ac:dyDescent="0.25">
      <c r="C150" s="119"/>
      <c r="D150" s="119"/>
      <c r="E150" s="6" t="s">
        <v>8</v>
      </c>
      <c r="F150" s="6" t="s">
        <v>9</v>
      </c>
      <c r="G150" s="6" t="s">
        <v>10</v>
      </c>
      <c r="H150" s="7" t="s">
        <v>11</v>
      </c>
      <c r="I150" s="6" t="s">
        <v>10</v>
      </c>
      <c r="J150" s="119"/>
      <c r="K150" s="119"/>
      <c r="L150" s="119"/>
    </row>
    <row r="151" spans="3:13" ht="14.25" customHeight="1" x14ac:dyDescent="0.25">
      <c r="C151" s="126" t="s">
        <v>124</v>
      </c>
      <c r="D151" s="124"/>
      <c r="E151" s="124"/>
      <c r="F151" s="124"/>
      <c r="G151" s="124"/>
      <c r="H151" s="124"/>
      <c r="I151" s="124"/>
      <c r="J151" s="124"/>
      <c r="K151" s="124"/>
      <c r="L151" s="125"/>
    </row>
    <row r="152" spans="3:13" ht="15.75" customHeight="1" x14ac:dyDescent="0.25">
      <c r="C152" s="8" t="s">
        <v>125</v>
      </c>
      <c r="D152" s="127"/>
      <c r="E152" s="124"/>
      <c r="F152" s="124"/>
      <c r="G152" s="124"/>
      <c r="H152" s="124"/>
      <c r="I152" s="124"/>
      <c r="J152" s="124"/>
      <c r="K152" s="124"/>
      <c r="L152" s="125"/>
    </row>
    <row r="153" spans="3:13" ht="14.25" customHeight="1" x14ac:dyDescent="0.25">
      <c r="C153" s="10" t="s">
        <v>126</v>
      </c>
      <c r="D153" s="65"/>
      <c r="E153" s="66"/>
      <c r="F153" s="67"/>
      <c r="G153" s="66"/>
      <c r="H153" s="68"/>
      <c r="I153" s="66"/>
      <c r="J153" s="66"/>
      <c r="K153" s="69"/>
      <c r="L153" s="66"/>
    </row>
    <row r="154" spans="3:13" ht="15" x14ac:dyDescent="0.25">
      <c r="C154" s="15" t="s">
        <v>127</v>
      </c>
      <c r="D154" s="70" t="s">
        <v>128</v>
      </c>
      <c r="E154" s="17">
        <v>2</v>
      </c>
      <c r="F154" s="17">
        <v>100</v>
      </c>
      <c r="G154" s="17" t="s">
        <v>17</v>
      </c>
      <c r="H154">
        <v>0</v>
      </c>
      <c r="I154" s="17" t="s">
        <v>17</v>
      </c>
      <c r="J154" s="17">
        <v>4</v>
      </c>
      <c r="K154" s="19">
        <v>51</v>
      </c>
      <c r="L154" s="20">
        <f>J154*K154</f>
        <v>204</v>
      </c>
      <c r="M154" s="21" t="s">
        <v>129</v>
      </c>
    </row>
    <row r="155" spans="3:13" ht="14.25" customHeight="1" x14ac:dyDescent="0.25">
      <c r="C155" s="29" t="s">
        <v>130</v>
      </c>
      <c r="D155" s="72" t="s">
        <v>131</v>
      </c>
      <c r="E155" s="31">
        <v>2</v>
      </c>
      <c r="F155" s="31">
        <v>100</v>
      </c>
      <c r="G155" s="31" t="s">
        <v>17</v>
      </c>
      <c r="H155">
        <v>0</v>
      </c>
      <c r="I155" s="31" t="s">
        <v>17</v>
      </c>
      <c r="J155" s="31">
        <v>4</v>
      </c>
      <c r="K155" s="33">
        <v>15</v>
      </c>
      <c r="L155" s="34">
        <f>J155*K155</f>
        <v>60</v>
      </c>
      <c r="M155" s="21" t="s">
        <v>129</v>
      </c>
    </row>
    <row r="156" spans="3:13" ht="14.25" customHeight="1" x14ac:dyDescent="0.25">
      <c r="C156" s="75"/>
      <c r="D156" s="76"/>
      <c r="E156" s="77"/>
      <c r="F156" s="78"/>
      <c r="G156" s="77"/>
      <c r="H156" s="79"/>
      <c r="I156" s="77"/>
      <c r="J156" s="77"/>
      <c r="K156" s="93"/>
      <c r="L156" s="77"/>
    </row>
    <row r="157" spans="3:13" ht="14.25" customHeight="1" x14ac:dyDescent="0.25">
      <c r="C157" s="10" t="s">
        <v>132</v>
      </c>
      <c r="D157" s="65"/>
      <c r="E157" s="66"/>
      <c r="F157" s="67"/>
      <c r="G157" s="66"/>
      <c r="H157" s="68"/>
      <c r="I157" s="66"/>
      <c r="J157" s="66"/>
      <c r="K157" s="69"/>
      <c r="L157" s="66"/>
    </row>
    <row r="158" spans="3:13" ht="15" x14ac:dyDescent="0.25">
      <c r="C158" s="15" t="s">
        <v>133</v>
      </c>
      <c r="D158" s="70" t="s">
        <v>134</v>
      </c>
      <c r="E158" s="17">
        <v>2</v>
      </c>
      <c r="F158" s="17">
        <v>40</v>
      </c>
      <c r="G158" s="17" t="s">
        <v>73</v>
      </c>
      <c r="H158">
        <v>0</v>
      </c>
      <c r="I158" s="17" t="s">
        <v>73</v>
      </c>
      <c r="J158" s="17">
        <v>2</v>
      </c>
      <c r="K158" s="19">
        <v>61</v>
      </c>
      <c r="L158" s="20">
        <f>J158*K158</f>
        <v>122</v>
      </c>
      <c r="M158" s="21" t="s">
        <v>135</v>
      </c>
    </row>
    <row r="159" spans="3:13" ht="15" x14ac:dyDescent="0.25">
      <c r="C159" s="22" t="s">
        <v>111</v>
      </c>
      <c r="D159" s="23" t="s">
        <v>134</v>
      </c>
      <c r="E159" s="24">
        <v>2</v>
      </c>
      <c r="F159" s="24">
        <v>40</v>
      </c>
      <c r="G159" s="24" t="s">
        <v>73</v>
      </c>
      <c r="H159">
        <v>0</v>
      </c>
      <c r="I159" s="24" t="s">
        <v>73</v>
      </c>
      <c r="J159" s="24">
        <v>2</v>
      </c>
      <c r="K159" s="26">
        <v>61</v>
      </c>
      <c r="L159" s="27">
        <f>J159*K159</f>
        <v>122</v>
      </c>
      <c r="M159" s="21" t="s">
        <v>135</v>
      </c>
    </row>
    <row r="160" spans="3:13" ht="14.25" customHeight="1" x14ac:dyDescent="0.25">
      <c r="C160" s="29" t="s">
        <v>136</v>
      </c>
      <c r="D160" s="72" t="s">
        <v>134</v>
      </c>
      <c r="E160" s="31">
        <v>2</v>
      </c>
      <c r="F160" s="31">
        <v>40</v>
      </c>
      <c r="G160" s="31" t="s">
        <v>73</v>
      </c>
      <c r="H160">
        <v>0</v>
      </c>
      <c r="I160" s="31" t="s">
        <v>73</v>
      </c>
      <c r="J160" s="31">
        <v>2</v>
      </c>
      <c r="K160" s="33">
        <v>40</v>
      </c>
      <c r="L160" s="34">
        <f>J160*K160</f>
        <v>80</v>
      </c>
      <c r="M160" s="21" t="s">
        <v>135</v>
      </c>
    </row>
    <row r="161" spans="3:13" ht="14.25" customHeight="1" x14ac:dyDescent="0.25">
      <c r="C161" s="75"/>
      <c r="D161" s="76"/>
      <c r="E161" s="77"/>
      <c r="F161" s="78"/>
      <c r="G161" s="77"/>
      <c r="H161" s="79"/>
      <c r="I161" s="123" t="s">
        <v>137</v>
      </c>
      <c r="J161" s="124"/>
      <c r="K161" s="125"/>
      <c r="L161" s="110">
        <f>SUM(L153:L160)</f>
        <v>588</v>
      </c>
    </row>
    <row r="162" spans="3:13" x14ac:dyDescent="0.25">
      <c r="C162" s="55"/>
      <c r="D162" s="56"/>
      <c r="E162" s="57"/>
      <c r="F162" s="55"/>
      <c r="G162" s="57"/>
      <c r="H162" s="58"/>
      <c r="I162" s="57"/>
      <c r="J162" s="57"/>
      <c r="K162" s="59"/>
      <c r="L162" s="57"/>
    </row>
    <row r="163" spans="3:13" ht="14.25" customHeight="1" x14ac:dyDescent="0.25">
      <c r="C163" s="55"/>
      <c r="D163" s="56"/>
      <c r="E163" s="57"/>
      <c r="F163" s="55"/>
      <c r="G163" s="57"/>
      <c r="H163" s="58"/>
      <c r="I163" s="57"/>
      <c r="J163" s="57"/>
      <c r="K163" s="59"/>
      <c r="L163" s="57"/>
    </row>
    <row r="164" spans="3:13" ht="15.75" customHeight="1" x14ac:dyDescent="0.25">
      <c r="C164" s="118" t="s">
        <v>0</v>
      </c>
      <c r="D164" s="118" t="s">
        <v>1</v>
      </c>
      <c r="E164" s="118" t="s">
        <v>2</v>
      </c>
      <c r="F164" s="124"/>
      <c r="G164" s="124"/>
      <c r="H164" s="124"/>
      <c r="I164" s="124"/>
      <c r="J164" s="124"/>
      <c r="K164" s="124"/>
      <c r="L164" s="125"/>
    </row>
    <row r="165" spans="3:13" ht="14.25" customHeight="1" x14ac:dyDescent="0.25">
      <c r="C165" s="120"/>
      <c r="D165" s="120"/>
      <c r="E165" s="118" t="s">
        <v>3</v>
      </c>
      <c r="F165" s="124"/>
      <c r="G165" s="125"/>
      <c r="H165" s="118" t="s">
        <v>4</v>
      </c>
      <c r="I165" s="125"/>
      <c r="J165" s="118" t="s">
        <v>5</v>
      </c>
      <c r="K165" s="128" t="s">
        <v>6</v>
      </c>
      <c r="L165" s="118" t="s">
        <v>7</v>
      </c>
    </row>
    <row r="166" spans="3:13" ht="18.75" customHeight="1" x14ac:dyDescent="0.25">
      <c r="C166" s="119"/>
      <c r="D166" s="119"/>
      <c r="E166" s="6" t="s">
        <v>8</v>
      </c>
      <c r="F166" s="6" t="s">
        <v>9</v>
      </c>
      <c r="G166" s="6" t="s">
        <v>10</v>
      </c>
      <c r="H166" s="7" t="s">
        <v>11</v>
      </c>
      <c r="I166" s="6" t="s">
        <v>10</v>
      </c>
      <c r="J166" s="119"/>
      <c r="K166" s="119"/>
      <c r="L166" s="119"/>
    </row>
    <row r="167" spans="3:13" ht="14.25" customHeight="1" x14ac:dyDescent="0.25">
      <c r="C167" s="126" t="s">
        <v>138</v>
      </c>
      <c r="D167" s="124"/>
      <c r="E167" s="124"/>
      <c r="F167" s="124"/>
      <c r="G167" s="124"/>
      <c r="H167" s="124"/>
      <c r="I167" s="124"/>
      <c r="J167" s="124"/>
      <c r="K167" s="124"/>
      <c r="L167" s="125"/>
    </row>
    <row r="168" spans="3:13" ht="27" customHeight="1" x14ac:dyDescent="0.25">
      <c r="C168" s="8" t="s">
        <v>139</v>
      </c>
      <c r="D168" s="127"/>
      <c r="E168" s="124"/>
      <c r="F168" s="124"/>
      <c r="G168" s="124"/>
      <c r="H168" s="124"/>
      <c r="I168" s="124"/>
      <c r="J168" s="124"/>
      <c r="K168" s="124"/>
      <c r="L168" s="125"/>
    </row>
    <row r="169" spans="3:13" ht="14.25" customHeight="1" x14ac:dyDescent="0.25">
      <c r="C169" s="10" t="s">
        <v>140</v>
      </c>
      <c r="D169" s="65"/>
      <c r="E169" s="66"/>
      <c r="F169" s="67"/>
      <c r="G169" s="66"/>
      <c r="H169" s="68"/>
      <c r="I169" s="66"/>
      <c r="J169" s="66"/>
      <c r="K169" s="69"/>
      <c r="L169" s="66"/>
    </row>
    <row r="170" spans="3:13" ht="18" customHeight="1" x14ac:dyDescent="0.25">
      <c r="C170" s="15" t="s">
        <v>141</v>
      </c>
      <c r="D170" s="70" t="s">
        <v>142</v>
      </c>
      <c r="E170" s="17">
        <v>1</v>
      </c>
      <c r="F170" s="17" t="s">
        <v>78</v>
      </c>
      <c r="G170" s="17"/>
      <c r="H170">
        <v>1</v>
      </c>
      <c r="I170" s="17"/>
      <c r="J170" s="17">
        <f t="shared" ref="J170:J175" si="7">H170</f>
        <v>1</v>
      </c>
      <c r="K170" s="19">
        <v>32</v>
      </c>
      <c r="L170" s="20">
        <f t="shared" ref="L170:L175" si="8">J170*K170</f>
        <v>32</v>
      </c>
      <c r="M170" s="21" t="s">
        <v>143</v>
      </c>
    </row>
    <row r="171" spans="3:13" ht="18" customHeight="1" x14ac:dyDescent="0.25">
      <c r="C171" s="22" t="s">
        <v>144</v>
      </c>
      <c r="D171" s="23" t="s">
        <v>145</v>
      </c>
      <c r="E171" s="24">
        <v>1</v>
      </c>
      <c r="F171" s="24" t="s">
        <v>78</v>
      </c>
      <c r="G171" s="24"/>
      <c r="H171">
        <v>1</v>
      </c>
      <c r="I171" s="24"/>
      <c r="J171" s="24">
        <f t="shared" si="7"/>
        <v>1</v>
      </c>
      <c r="K171" s="26">
        <v>49</v>
      </c>
      <c r="L171" s="27">
        <f t="shared" si="8"/>
        <v>49</v>
      </c>
      <c r="M171" s="21" t="s">
        <v>143</v>
      </c>
    </row>
    <row r="172" spans="3:13" ht="18" customHeight="1" x14ac:dyDescent="0.25">
      <c r="C172" s="22" t="s">
        <v>146</v>
      </c>
      <c r="D172" s="23" t="s">
        <v>147</v>
      </c>
      <c r="E172" s="24">
        <v>1</v>
      </c>
      <c r="F172" s="24" t="s">
        <v>78</v>
      </c>
      <c r="G172" s="24"/>
      <c r="H172">
        <v>1</v>
      </c>
      <c r="I172" s="24"/>
      <c r="J172" s="24">
        <f t="shared" si="7"/>
        <v>1</v>
      </c>
      <c r="K172" s="26">
        <v>39</v>
      </c>
      <c r="L172" s="27">
        <f t="shared" si="8"/>
        <v>39</v>
      </c>
      <c r="M172" s="21" t="s">
        <v>143</v>
      </c>
    </row>
    <row r="173" spans="3:13" ht="18" customHeight="1" x14ac:dyDescent="0.25">
      <c r="C173" s="22" t="s">
        <v>148</v>
      </c>
      <c r="D173" s="23" t="s">
        <v>149</v>
      </c>
      <c r="E173" s="24">
        <v>1</v>
      </c>
      <c r="F173" s="24" t="s">
        <v>78</v>
      </c>
      <c r="G173" s="24"/>
      <c r="H173">
        <v>1</v>
      </c>
      <c r="I173" s="24"/>
      <c r="J173" s="24">
        <f t="shared" si="7"/>
        <v>1</v>
      </c>
      <c r="K173" s="26">
        <v>50</v>
      </c>
      <c r="L173" s="27">
        <f t="shared" si="8"/>
        <v>50</v>
      </c>
      <c r="M173" s="21" t="s">
        <v>143</v>
      </c>
    </row>
    <row r="174" spans="3:13" ht="18" customHeight="1" x14ac:dyDescent="0.25">
      <c r="C174" s="22" t="s">
        <v>150</v>
      </c>
      <c r="D174" s="23" t="s">
        <v>151</v>
      </c>
      <c r="E174" s="24">
        <v>1</v>
      </c>
      <c r="F174" s="24" t="s">
        <v>78</v>
      </c>
      <c r="G174" s="24"/>
      <c r="H174">
        <v>1</v>
      </c>
      <c r="I174" s="24"/>
      <c r="J174" s="24">
        <f t="shared" si="7"/>
        <v>1</v>
      </c>
      <c r="K174" s="26">
        <v>42.5</v>
      </c>
      <c r="L174" s="27">
        <f t="shared" si="8"/>
        <v>42.5</v>
      </c>
      <c r="M174" s="21" t="s">
        <v>143</v>
      </c>
    </row>
    <row r="175" spans="3:13" ht="18.75" customHeight="1" x14ac:dyDescent="0.25">
      <c r="C175" s="29" t="s">
        <v>152</v>
      </c>
      <c r="D175" s="72" t="s">
        <v>153</v>
      </c>
      <c r="E175" s="31">
        <v>1</v>
      </c>
      <c r="F175" s="31" t="s">
        <v>78</v>
      </c>
      <c r="G175" s="31"/>
      <c r="H175">
        <v>1</v>
      </c>
      <c r="I175" s="31"/>
      <c r="J175" s="31">
        <f t="shared" si="7"/>
        <v>1</v>
      </c>
      <c r="K175" s="33">
        <v>32</v>
      </c>
      <c r="L175" s="34">
        <f t="shared" si="8"/>
        <v>32</v>
      </c>
      <c r="M175" s="21" t="s">
        <v>143</v>
      </c>
    </row>
    <row r="176" spans="3:13" ht="14.25" customHeight="1" x14ac:dyDescent="0.25">
      <c r="C176" s="10" t="s">
        <v>154</v>
      </c>
      <c r="D176" s="65"/>
      <c r="E176" s="66"/>
      <c r="F176" s="67"/>
      <c r="G176" s="66"/>
      <c r="H176" s="68"/>
      <c r="I176" s="66"/>
      <c r="J176" s="66"/>
      <c r="K176" s="69"/>
      <c r="L176" s="66"/>
    </row>
    <row r="177" spans="3:13" ht="18" customHeight="1" x14ac:dyDescent="0.25">
      <c r="C177" s="15" t="s">
        <v>155</v>
      </c>
      <c r="D177" s="70" t="s">
        <v>156</v>
      </c>
      <c r="E177" s="17">
        <v>1</v>
      </c>
      <c r="F177" s="17" t="s">
        <v>78</v>
      </c>
      <c r="G177" s="17"/>
      <c r="H177">
        <v>1</v>
      </c>
      <c r="I177" s="17"/>
      <c r="J177" s="17">
        <f>H177</f>
        <v>1</v>
      </c>
      <c r="K177" s="19">
        <v>62</v>
      </c>
      <c r="L177" s="20">
        <f>J177*K177</f>
        <v>62</v>
      </c>
      <c r="M177" s="21" t="s">
        <v>157</v>
      </c>
    </row>
    <row r="178" spans="3:13" ht="18" customHeight="1" x14ac:dyDescent="0.25">
      <c r="C178" s="22" t="s">
        <v>158</v>
      </c>
      <c r="D178" s="23" t="s">
        <v>159</v>
      </c>
      <c r="E178" s="24">
        <v>1</v>
      </c>
      <c r="F178" s="24" t="s">
        <v>78</v>
      </c>
      <c r="G178" s="24"/>
      <c r="H178">
        <v>1</v>
      </c>
      <c r="I178" s="24"/>
      <c r="J178" s="24">
        <f>H178</f>
        <v>1</v>
      </c>
      <c r="K178" s="26">
        <v>39</v>
      </c>
      <c r="L178" s="27">
        <f>J178*K178</f>
        <v>39</v>
      </c>
      <c r="M178" s="21" t="s">
        <v>157</v>
      </c>
    </row>
    <row r="179" spans="3:13" ht="18.75" customHeight="1" x14ac:dyDescent="0.25">
      <c r="C179" s="29" t="s">
        <v>160</v>
      </c>
      <c r="D179" s="72" t="s">
        <v>161</v>
      </c>
      <c r="E179" s="31">
        <v>1</v>
      </c>
      <c r="F179" s="31" t="s">
        <v>78</v>
      </c>
      <c r="G179" s="31"/>
      <c r="H179">
        <v>1</v>
      </c>
      <c r="I179" s="31"/>
      <c r="J179" s="31">
        <f>H179</f>
        <v>1</v>
      </c>
      <c r="K179" s="33">
        <v>31.5</v>
      </c>
      <c r="L179" s="34">
        <f>J179*K179</f>
        <v>31.5</v>
      </c>
      <c r="M179" s="21" t="s">
        <v>157</v>
      </c>
    </row>
    <row r="180" spans="3:13" ht="14.25" customHeight="1" x14ac:dyDescent="0.25">
      <c r="C180" s="8" t="s">
        <v>162</v>
      </c>
      <c r="D180" s="65"/>
      <c r="E180" s="66"/>
      <c r="F180" s="67"/>
      <c r="G180" s="66"/>
      <c r="H180" s="68"/>
      <c r="I180" s="66"/>
      <c r="J180" s="66"/>
      <c r="K180" s="69"/>
      <c r="L180" s="66"/>
    </row>
    <row r="181" spans="3:13" ht="14.25" customHeight="1" x14ac:dyDescent="0.25">
      <c r="C181" s="111" t="s">
        <v>163</v>
      </c>
      <c r="D181" s="112" t="s">
        <v>164</v>
      </c>
      <c r="E181" s="113">
        <v>2</v>
      </c>
      <c r="F181" s="113">
        <v>500</v>
      </c>
      <c r="G181" s="113" t="s">
        <v>165</v>
      </c>
      <c r="H181">
        <v>0</v>
      </c>
      <c r="I181" s="113" t="s">
        <v>165</v>
      </c>
      <c r="J181" s="113">
        <v>1</v>
      </c>
      <c r="K181" s="114">
        <v>49</v>
      </c>
      <c r="L181" s="115">
        <f>J181*K181</f>
        <v>49</v>
      </c>
      <c r="M181" s="21" t="s">
        <v>166</v>
      </c>
    </row>
    <row r="182" spans="3:13" ht="18.75" customHeight="1" x14ac:dyDescent="0.25">
      <c r="C182" s="8" t="s">
        <v>167</v>
      </c>
      <c r="D182" s="76"/>
      <c r="E182" s="77"/>
      <c r="F182" s="78"/>
      <c r="G182" s="77"/>
      <c r="H182" s="79"/>
      <c r="I182" s="77"/>
      <c r="J182" s="77"/>
      <c r="K182" s="93"/>
      <c r="L182" s="77"/>
    </row>
    <row r="183" spans="3:13" ht="14.25" customHeight="1" x14ac:dyDescent="0.25">
      <c r="C183" s="10" t="s">
        <v>168</v>
      </c>
      <c r="D183" s="65"/>
      <c r="E183" s="66"/>
      <c r="F183" s="67"/>
      <c r="G183" s="66"/>
      <c r="H183" s="68"/>
      <c r="I183" s="66"/>
      <c r="J183" s="66"/>
      <c r="K183" s="69"/>
      <c r="L183" s="66"/>
    </row>
    <row r="184" spans="3:13" ht="18" customHeight="1" x14ac:dyDescent="0.25">
      <c r="C184" s="15" t="s">
        <v>169</v>
      </c>
      <c r="D184" s="70" t="s">
        <v>170</v>
      </c>
      <c r="E184" s="17">
        <v>1</v>
      </c>
      <c r="F184" s="17" t="s">
        <v>78</v>
      </c>
      <c r="G184" s="17"/>
      <c r="H184">
        <v>1</v>
      </c>
      <c r="I184" s="17"/>
      <c r="J184" s="17">
        <f>H184</f>
        <v>1</v>
      </c>
      <c r="K184" s="19">
        <v>20</v>
      </c>
      <c r="L184" s="20">
        <f>J184*K184</f>
        <v>20</v>
      </c>
      <c r="M184" s="21" t="s">
        <v>171</v>
      </c>
    </row>
    <row r="185" spans="3:13" ht="18" customHeight="1" x14ac:dyDescent="0.25">
      <c r="C185" s="22" t="s">
        <v>172</v>
      </c>
      <c r="D185" s="23" t="s">
        <v>170</v>
      </c>
      <c r="E185" s="24">
        <v>1</v>
      </c>
      <c r="F185" s="24" t="s">
        <v>78</v>
      </c>
      <c r="G185" s="24"/>
      <c r="H185">
        <v>1</v>
      </c>
      <c r="I185" s="24"/>
      <c r="J185" s="24">
        <f>H185</f>
        <v>1</v>
      </c>
      <c r="K185" s="26">
        <v>42</v>
      </c>
      <c r="L185" s="27">
        <f>J185*K185</f>
        <v>42</v>
      </c>
      <c r="M185" s="21" t="s">
        <v>171</v>
      </c>
    </row>
    <row r="186" spans="3:13" ht="18.75" customHeight="1" x14ac:dyDescent="0.25">
      <c r="C186" s="29" t="s">
        <v>163</v>
      </c>
      <c r="D186" s="72" t="s">
        <v>173</v>
      </c>
      <c r="E186" s="31">
        <v>1</v>
      </c>
      <c r="F186" s="31" t="s">
        <v>78</v>
      </c>
      <c r="G186" s="31"/>
      <c r="H186">
        <v>1</v>
      </c>
      <c r="I186" s="31"/>
      <c r="J186" s="31">
        <f>H186</f>
        <v>1</v>
      </c>
      <c r="K186" s="33">
        <v>49</v>
      </c>
      <c r="L186" s="34">
        <f>J186*K186</f>
        <v>49</v>
      </c>
      <c r="M186" s="21" t="s">
        <v>171</v>
      </c>
    </row>
    <row r="187" spans="3:13" ht="14.25" customHeight="1" x14ac:dyDescent="0.25">
      <c r="C187" s="10" t="s">
        <v>174</v>
      </c>
      <c r="D187" s="65"/>
      <c r="E187" s="66"/>
      <c r="F187" s="67"/>
      <c r="G187" s="66"/>
      <c r="H187" s="68"/>
      <c r="I187" s="66"/>
      <c r="J187" s="66"/>
      <c r="K187" s="69"/>
      <c r="L187" s="66"/>
    </row>
    <row r="188" spans="3:13" ht="18" customHeight="1" x14ac:dyDescent="0.25">
      <c r="C188" s="15" t="s">
        <v>169</v>
      </c>
      <c r="D188" s="70" t="s">
        <v>170</v>
      </c>
      <c r="E188" s="17">
        <v>1</v>
      </c>
      <c r="F188" s="17" t="s">
        <v>78</v>
      </c>
      <c r="G188" s="17"/>
      <c r="H188">
        <v>1</v>
      </c>
      <c r="I188" s="17"/>
      <c r="J188" s="17">
        <f>H188</f>
        <v>1</v>
      </c>
      <c r="K188" s="19">
        <v>20</v>
      </c>
      <c r="L188" s="20">
        <f>J188*K188</f>
        <v>20</v>
      </c>
      <c r="M188" s="21" t="s">
        <v>171</v>
      </c>
    </row>
    <row r="189" spans="3:13" ht="18.75" customHeight="1" x14ac:dyDescent="0.25">
      <c r="C189" s="29" t="s">
        <v>172</v>
      </c>
      <c r="D189" s="72" t="s">
        <v>170</v>
      </c>
      <c r="E189" s="31">
        <v>1</v>
      </c>
      <c r="F189" s="31" t="s">
        <v>78</v>
      </c>
      <c r="G189" s="31"/>
      <c r="H189">
        <v>1</v>
      </c>
      <c r="I189" s="31"/>
      <c r="J189" s="31">
        <f>H189</f>
        <v>1</v>
      </c>
      <c r="K189" s="33">
        <v>42</v>
      </c>
      <c r="L189" s="34">
        <f>J189*K189</f>
        <v>42</v>
      </c>
      <c r="M189" s="21" t="s">
        <v>171</v>
      </c>
    </row>
    <row r="190" spans="3:13" ht="14.25" customHeight="1" x14ac:dyDescent="0.25">
      <c r="C190" s="75"/>
      <c r="D190" s="76"/>
      <c r="E190" s="77"/>
      <c r="F190" s="78"/>
      <c r="G190" s="77"/>
      <c r="H190" s="79"/>
      <c r="I190" s="131" t="s">
        <v>175</v>
      </c>
      <c r="J190" s="132"/>
      <c r="K190" s="133"/>
      <c r="L190" s="110">
        <f>SUM(L169:L189)</f>
        <v>599</v>
      </c>
    </row>
    <row r="191" spans="3:13" ht="14.25" customHeight="1" x14ac:dyDescent="0.25">
      <c r="C191" s="55" t="s">
        <v>180</v>
      </c>
      <c r="D191" s="56" t="s">
        <v>177</v>
      </c>
      <c r="E191" s="57">
        <v>1</v>
      </c>
      <c r="F191" s="55" t="s">
        <v>178</v>
      </c>
      <c r="G191" s="57"/>
      <c r="H191" s="58">
        <v>1</v>
      </c>
      <c r="I191" s="57" t="s">
        <v>178</v>
      </c>
      <c r="J191" s="57">
        <v>1</v>
      </c>
      <c r="K191" s="59">
        <v>4875</v>
      </c>
      <c r="L191" s="57">
        <f>J191*K191</f>
        <v>4875</v>
      </c>
      <c r="M191" s="21" t="s">
        <v>179</v>
      </c>
    </row>
    <row r="192" spans="3:13" ht="21.75" customHeight="1" x14ac:dyDescent="0.25">
      <c r="C192" s="55"/>
      <c r="D192" s="56"/>
      <c r="E192" s="57"/>
      <c r="F192" s="55"/>
      <c r="G192" s="57"/>
      <c r="H192" s="58"/>
      <c r="I192" s="129" t="s">
        <v>176</v>
      </c>
      <c r="J192" s="124"/>
      <c r="K192" s="130"/>
      <c r="L192" s="116">
        <f>L22+L43+L65+L130+L143+L161+L190+L191</f>
        <v>17958</v>
      </c>
    </row>
  </sheetData>
  <mergeCells count="85">
    <mergeCell ref="K7:K8"/>
    <mergeCell ref="E70:L70"/>
    <mergeCell ref="C47:C49"/>
    <mergeCell ref="E48:G48"/>
    <mergeCell ref="D31:L31"/>
    <mergeCell ref="I192:K192"/>
    <mergeCell ref="C50:L50"/>
    <mergeCell ref="E71:G71"/>
    <mergeCell ref="K28:K29"/>
    <mergeCell ref="L149:L150"/>
    <mergeCell ref="C133:C135"/>
    <mergeCell ref="H48:I48"/>
    <mergeCell ref="L134:L135"/>
    <mergeCell ref="J48:J49"/>
    <mergeCell ref="C27:C29"/>
    <mergeCell ref="L48:L49"/>
    <mergeCell ref="L71:L72"/>
    <mergeCell ref="I130:K130"/>
    <mergeCell ref="I190:K190"/>
    <mergeCell ref="C136:L136"/>
    <mergeCell ref="C30:L30"/>
    <mergeCell ref="D168:L168"/>
    <mergeCell ref="D152:L152"/>
    <mergeCell ref="D6:D8"/>
    <mergeCell ref="F109:G109"/>
    <mergeCell ref="E134:G134"/>
    <mergeCell ref="K48:K49"/>
    <mergeCell ref="C73:L73"/>
    <mergeCell ref="H28:I28"/>
    <mergeCell ref="F111:G111"/>
    <mergeCell ref="C9:L9"/>
    <mergeCell ref="L7:L8"/>
    <mergeCell ref="F110:G110"/>
    <mergeCell ref="J149:J150"/>
    <mergeCell ref="E148:L148"/>
    <mergeCell ref="E27:L27"/>
    <mergeCell ref="D27:D29"/>
    <mergeCell ref="C167:L167"/>
    <mergeCell ref="H71:I71"/>
    <mergeCell ref="F107:G107"/>
    <mergeCell ref="E164:L164"/>
    <mergeCell ref="E47:L47"/>
    <mergeCell ref="H165:I165"/>
    <mergeCell ref="E149:G149"/>
    <mergeCell ref="I143:K143"/>
    <mergeCell ref="D164:D166"/>
    <mergeCell ref="K134:K135"/>
    <mergeCell ref="D148:D150"/>
    <mergeCell ref="K71:K72"/>
    <mergeCell ref="H149:I149"/>
    <mergeCell ref="D47:D49"/>
    <mergeCell ref="C164:C166"/>
    <mergeCell ref="C70:C72"/>
    <mergeCell ref="E6:L6"/>
    <mergeCell ref="E133:L133"/>
    <mergeCell ref="I65:K65"/>
    <mergeCell ref="J71:J72"/>
    <mergeCell ref="D10:L10"/>
    <mergeCell ref="D70:D72"/>
    <mergeCell ref="E28:G28"/>
    <mergeCell ref="I22:K22"/>
    <mergeCell ref="F112:G112"/>
    <mergeCell ref="J28:J29"/>
    <mergeCell ref="L28:L29"/>
    <mergeCell ref="I43:K43"/>
    <mergeCell ref="F113:G113"/>
    <mergeCell ref="J7:J8"/>
    <mergeCell ref="D74:L74"/>
    <mergeCell ref="H7:I7"/>
    <mergeCell ref="J165:J166"/>
    <mergeCell ref="D133:D135"/>
    <mergeCell ref="F108:G108"/>
    <mergeCell ref="I161:K161"/>
    <mergeCell ref="E7:G7"/>
    <mergeCell ref="C151:L151"/>
    <mergeCell ref="D51:L51"/>
    <mergeCell ref="E165:G165"/>
    <mergeCell ref="C148:C150"/>
    <mergeCell ref="H134:I134"/>
    <mergeCell ref="L165:L166"/>
    <mergeCell ref="D137:L137"/>
    <mergeCell ref="K165:K166"/>
    <mergeCell ref="C6:C8"/>
    <mergeCell ref="J134:J135"/>
    <mergeCell ref="K149:K150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CRTA. GUADALMAR</vt:lpstr>
      <vt:lpstr>'CRTA. GUADALMAR'!_Hlk101341843</vt:lpstr>
      <vt:lpstr>'CRTA. GUADALMAR'!_Hlk101342322</vt:lpstr>
      <vt:lpstr>'CRTA. GUADALMAR'!_Hlk101342404</vt:lpstr>
      <vt:lpstr>'CRTA. GUADALMAR'!_Hlk101342942</vt:lpstr>
      <vt:lpstr>'CRTA. GUADALMAR'!_Hlk101343036</vt:lpstr>
      <vt:lpstr>'CRTA. GUADALMAR'!_Hlk101343150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BONILLA</dc:creator>
  <cp:lastModifiedBy>GARPUL</cp:lastModifiedBy>
  <cp:revision>0</cp:revision>
  <dcterms:created xsi:type="dcterms:W3CDTF">2022-07-11T17:10:11Z</dcterms:created>
  <dcterms:modified xsi:type="dcterms:W3CDTF">2026-04-15T09:29:35Z</dcterms:modified>
  <dc:language>en-US</dc:language>
</cp:coreProperties>
</file>